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\FORMAT\"/>
    </mc:Choice>
  </mc:AlternateContent>
  <xr:revisionPtr revIDLastSave="0" documentId="13_ncr:1_{F8A296C7-A4C6-42E3-AFD7-E7C64AE4A93A}" xr6:coauthVersionLast="47" xr6:coauthVersionMax="47" xr10:uidLastSave="{00000000-0000-0000-0000-000000000000}"/>
  <bookViews>
    <workbookView xWindow="-120" yWindow="-120" windowWidth="29040" windowHeight="15720" tabRatio="908" firstSheet="1" activeTab="14" xr2:uid="{00000000-000D-0000-FFFF-FFFF00000000}"/>
  </bookViews>
  <sheets>
    <sheet name="Sheet1" sheetId="38" state="hidden" r:id="rId1"/>
    <sheet name="1 BUKU PENERIMAAN BARANG" sheetId="5" r:id="rId2"/>
    <sheet name="2 NPB" sheetId="14" r:id="rId3"/>
    <sheet name="3 SPB" sheetId="16" r:id="rId4"/>
    <sheet name="4 SPPB" sheetId="18" r:id="rId5"/>
    <sheet name="5 BAST" sheetId="20" r:id="rId6"/>
    <sheet name="1 BUKU PENGELUARAN" sheetId="37" r:id="rId7"/>
    <sheet name="6 KARTU BARANG PERSEDIAAN" sheetId="7" r:id="rId8"/>
    <sheet name="7 BUKU PENYALURAN" sheetId="8" r:id="rId9"/>
    <sheet name="2 NPB BIDANG" sheetId="33" state="hidden" r:id="rId10"/>
    <sheet name="2 SPB BIDANG" sheetId="34" state="hidden" r:id="rId11"/>
    <sheet name="2 SPPB BIDANG" sheetId="35" state="hidden" r:id="rId12"/>
    <sheet name="2 BAST BIDANG" sheetId="36" state="hidden" r:id="rId13"/>
    <sheet name="8 STCK OPN" sheetId="13" r:id="rId14"/>
    <sheet name="9 LAMPIRAN" sheetId="21" r:id="rId15"/>
  </sheets>
  <definedNames>
    <definedName name="_xlnm._FilterDatabase" localSheetId="12" hidden="1">'2 BAST BIDANG'!$J$26:$J$48</definedName>
    <definedName name="_xlnm._FilterDatabase" localSheetId="9" hidden="1">'2 NPB BIDANG'!$J$13:$K$34</definedName>
    <definedName name="_xlnm._FilterDatabase" localSheetId="10" hidden="1">'2 SPB BIDANG'!$N$9:$N$30</definedName>
    <definedName name="_xlnm._FilterDatabase" localSheetId="11" hidden="1">'2 SPPB BIDANG'!$J$14:$J$36</definedName>
    <definedName name="_xlnm._FilterDatabase" localSheetId="5" hidden="1">'5 BAST'!#REF!</definedName>
    <definedName name="_xlnm.Print_Area" localSheetId="1">'1 BUKU PENERIMAAN BARANG'!$A$1:$M$26</definedName>
    <definedName name="_xlnm.Print_Area" localSheetId="6">'1 BUKU PENGELUARAN'!$A$1:$M$26</definedName>
    <definedName name="_xlnm.Print_Area" localSheetId="12">'2 BAST BIDANG'!$A$1:$I$61</definedName>
    <definedName name="_xlnm.Print_Area" localSheetId="2">'2 NPB'!$A$1:$I$44</definedName>
    <definedName name="_xlnm.Print_Area" localSheetId="9">'2 NPB BIDANG'!$A$1:$I$44</definedName>
    <definedName name="_xlnm.Print_Area" localSheetId="10">'2 SPB BIDANG'!$A$1:$M$46</definedName>
    <definedName name="_xlnm.Print_Area" localSheetId="11">'2 SPPB BIDANG'!$A$1:$I$47</definedName>
    <definedName name="_xlnm.Print_Area" localSheetId="3">'3 SPB'!$A$1:$M$46</definedName>
    <definedName name="_xlnm.Print_Area" localSheetId="4">'4 SPPB'!$A$1:$J$47</definedName>
    <definedName name="_xlnm.Print_Area" localSheetId="5">'5 BAST'!$A$1:$H$61</definedName>
    <definedName name="_xlnm.Print_Area" localSheetId="7">'6 KARTU BARANG PERSEDIAAN'!$A$1:$M$26</definedName>
    <definedName name="_xlnm.Print_Area" localSheetId="8">'7 BUKU PENYALURAN'!$A$1:$N$29</definedName>
    <definedName name="_xlnm.Print_Area" localSheetId="13">'8 STCK OPN'!$A$1:$G$57</definedName>
    <definedName name="_xlnm.Print_Titles" localSheetId="1">'1 BUKU PENERIMAAN BARANG'!$8:$9</definedName>
    <definedName name="_xlnm.Print_Titles" localSheetId="6">'1 BUKU PENGELUARAN'!$8:$9</definedName>
    <definedName name="_xlnm.Print_Titles" localSheetId="12">'2 BAST BIDANG'!$26:$27</definedName>
    <definedName name="_xlnm.Print_Titles" localSheetId="10">'2 SPB BIDANG'!$8:$9</definedName>
    <definedName name="_xlnm.Print_Titles" localSheetId="3">'3 SPB'!$8:$9</definedName>
    <definedName name="_xlnm.Print_Titles" localSheetId="5">'5 BAST'!$27:$28</definedName>
    <definedName name="_xlnm.Print_Titles" localSheetId="8">'7 BUKU PENYALURAN'!$8:$10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3" l="1"/>
  <c r="J11" i="8"/>
  <c r="L10" i="37"/>
  <c r="L10" i="5"/>
  <c r="L16" i="37" l="1"/>
  <c r="G10" i="7"/>
  <c r="M10" i="7" s="1"/>
  <c r="I11" i="7"/>
  <c r="J11" i="7" s="1"/>
  <c r="L10" i="7"/>
  <c r="L11" i="7" s="1"/>
  <c r="L12" i="7" s="1"/>
  <c r="K10" i="7"/>
  <c r="B4" i="7"/>
  <c r="K11" i="7" l="1"/>
  <c r="M11" i="7" l="1"/>
  <c r="K12" i="7"/>
  <c r="M12" i="7" s="1"/>
  <c r="B34" i="33"/>
  <c r="B33" i="33"/>
  <c r="F33" i="33" s="1"/>
  <c r="B32" i="33"/>
  <c r="F32" i="33" s="1"/>
  <c r="B31" i="33"/>
  <c r="F31" i="33" s="1"/>
  <c r="B30" i="33"/>
  <c r="F30" i="33" s="1"/>
  <c r="B29" i="33"/>
  <c r="F29" i="33" s="1"/>
  <c r="B28" i="33"/>
  <c r="F28" i="33" s="1"/>
  <c r="B27" i="33"/>
  <c r="F27" i="33" s="1"/>
  <c r="B26" i="33"/>
  <c r="F26" i="33" s="1"/>
  <c r="B25" i="33"/>
  <c r="F25" i="33" s="1"/>
  <c r="B24" i="33"/>
  <c r="F24" i="33" s="1"/>
  <c r="B23" i="33"/>
  <c r="F23" i="33" s="1"/>
  <c r="B22" i="33"/>
  <c r="F22" i="33" s="1"/>
  <c r="B21" i="33"/>
  <c r="F21" i="33" s="1"/>
  <c r="B20" i="33"/>
  <c r="F20" i="33" s="1"/>
  <c r="B19" i="33"/>
  <c r="F19" i="33" s="1"/>
  <c r="B18" i="33"/>
  <c r="F18" i="33" s="1"/>
  <c r="B17" i="33"/>
  <c r="F17" i="33" s="1"/>
  <c r="B16" i="33"/>
  <c r="F16" i="33" s="1"/>
  <c r="B15" i="33"/>
  <c r="F15" i="33" s="1"/>
  <c r="B14" i="33"/>
  <c r="B5" i="7" l="1"/>
  <c r="C10" i="34"/>
  <c r="H10" i="34" s="1"/>
  <c r="C11" i="34"/>
  <c r="H11" i="34" s="1"/>
  <c r="C12" i="34"/>
  <c r="H12" i="34" s="1"/>
  <c r="C13" i="34"/>
  <c r="H13" i="34" s="1"/>
  <c r="C14" i="34"/>
  <c r="H14" i="34" s="1"/>
  <c r="C15" i="34"/>
  <c r="H15" i="34" s="1"/>
  <c r="C16" i="34"/>
  <c r="H16" i="34" s="1"/>
  <c r="C17" i="34"/>
  <c r="H17" i="34" s="1"/>
  <c r="C18" i="34"/>
  <c r="H18" i="34" s="1"/>
  <c r="C19" i="34"/>
  <c r="H19" i="34" s="1"/>
  <c r="C20" i="34"/>
  <c r="H20" i="34" s="1"/>
  <c r="C21" i="34"/>
  <c r="H21" i="34" s="1"/>
  <c r="C22" i="34"/>
  <c r="H22" i="34" s="1"/>
  <c r="C23" i="34"/>
  <c r="H23" i="34" s="1"/>
  <c r="C24" i="34"/>
  <c r="H24" i="34" s="1"/>
  <c r="C25" i="34"/>
  <c r="H25" i="34" s="1"/>
  <c r="C26" i="34"/>
  <c r="H26" i="34" s="1"/>
  <c r="C27" i="34"/>
  <c r="H27" i="34" s="1"/>
  <c r="C28" i="34"/>
  <c r="H28" i="34" s="1"/>
  <c r="C29" i="34"/>
  <c r="H29" i="34" s="1"/>
  <c r="C30" i="34"/>
  <c r="H30" i="34" s="1"/>
  <c r="K14" i="33"/>
  <c r="E14" i="33" s="1"/>
  <c r="F14" i="33"/>
  <c r="K34" i="33"/>
  <c r="E34" i="33" s="1"/>
  <c r="F34" i="33"/>
  <c r="F10" i="34"/>
  <c r="F11" i="34"/>
  <c r="F12" i="34"/>
  <c r="F13" i="34"/>
  <c r="F14" i="34"/>
  <c r="F16" i="34"/>
  <c r="F17" i="34"/>
  <c r="F18" i="34"/>
  <c r="F19" i="34"/>
  <c r="F21" i="34"/>
  <c r="F22" i="34"/>
  <c r="F26" i="34"/>
  <c r="F28" i="34"/>
  <c r="F30" i="34"/>
  <c r="K15" i="33"/>
  <c r="E15" i="33" s="1"/>
  <c r="K16" i="33"/>
  <c r="E16" i="33" s="1"/>
  <c r="K17" i="33"/>
  <c r="E17" i="33" s="1"/>
  <c r="K18" i="33"/>
  <c r="E18" i="33" s="1"/>
  <c r="K19" i="33"/>
  <c r="E19" i="33" s="1"/>
  <c r="K20" i="33"/>
  <c r="E20" i="33" s="1"/>
  <c r="K21" i="33"/>
  <c r="E21" i="33" s="1"/>
  <c r="K22" i="33"/>
  <c r="E22" i="33" s="1"/>
  <c r="K23" i="33"/>
  <c r="E23" i="33" s="1"/>
  <c r="K24" i="33"/>
  <c r="E24" i="33" s="1"/>
  <c r="K25" i="33"/>
  <c r="E25" i="33" s="1"/>
  <c r="K26" i="33"/>
  <c r="E26" i="33" s="1"/>
  <c r="K27" i="33"/>
  <c r="E27" i="33" s="1"/>
  <c r="K28" i="33"/>
  <c r="E28" i="33" s="1"/>
  <c r="K29" i="33"/>
  <c r="E29" i="33" s="1"/>
  <c r="K30" i="33"/>
  <c r="E30" i="33" s="1"/>
  <c r="K31" i="33"/>
  <c r="E31" i="33" s="1"/>
  <c r="K32" i="33"/>
  <c r="E32" i="33" s="1"/>
  <c r="K33" i="33"/>
  <c r="E33" i="33" s="1"/>
  <c r="C10" i="16"/>
  <c r="C30" i="16"/>
  <c r="F24" i="34" l="1"/>
  <c r="F20" i="34"/>
  <c r="F15" i="34"/>
  <c r="F25" i="34"/>
  <c r="N25" i="34" s="1"/>
  <c r="F27" i="34"/>
  <c r="F29" i="34"/>
  <c r="J29" i="34" s="1"/>
  <c r="G35" i="35" s="1"/>
  <c r="F23" i="34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E16" i="18"/>
  <c r="D16" i="35"/>
  <c r="G30" i="34"/>
  <c r="K30" i="34" s="1"/>
  <c r="H36" i="35" s="1"/>
  <c r="G48" i="36" s="1"/>
  <c r="I30" i="34"/>
  <c r="G29" i="34"/>
  <c r="K29" i="34" s="1"/>
  <c r="H35" i="35" s="1"/>
  <c r="G47" i="36" s="1"/>
  <c r="I29" i="34"/>
  <c r="G28" i="34"/>
  <c r="K28" i="34" s="1"/>
  <c r="H34" i="35" s="1"/>
  <c r="G46" i="36" s="1"/>
  <c r="I28" i="34"/>
  <c r="G27" i="34"/>
  <c r="K27" i="34" s="1"/>
  <c r="H33" i="35" s="1"/>
  <c r="G45" i="36" s="1"/>
  <c r="I27" i="34"/>
  <c r="G26" i="34"/>
  <c r="K26" i="34" s="1"/>
  <c r="H32" i="35" s="1"/>
  <c r="G44" i="36" s="1"/>
  <c r="I26" i="34"/>
  <c r="G25" i="34"/>
  <c r="K25" i="34" s="1"/>
  <c r="H31" i="35" s="1"/>
  <c r="G43" i="36" s="1"/>
  <c r="I25" i="34"/>
  <c r="G24" i="34"/>
  <c r="K24" i="34" s="1"/>
  <c r="H30" i="35" s="1"/>
  <c r="G42" i="36" s="1"/>
  <c r="I24" i="34"/>
  <c r="G23" i="34"/>
  <c r="K23" i="34" s="1"/>
  <c r="H29" i="35" s="1"/>
  <c r="G41" i="36" s="1"/>
  <c r="I23" i="34"/>
  <c r="G22" i="34"/>
  <c r="K22" i="34" s="1"/>
  <c r="H28" i="35" s="1"/>
  <c r="G40" i="36" s="1"/>
  <c r="I22" i="34"/>
  <c r="G21" i="34"/>
  <c r="K21" i="34" s="1"/>
  <c r="H27" i="35" s="1"/>
  <c r="G39" i="36" s="1"/>
  <c r="I21" i="34"/>
  <c r="G20" i="34"/>
  <c r="K20" i="34" s="1"/>
  <c r="H26" i="35" s="1"/>
  <c r="G38" i="36" s="1"/>
  <c r="I20" i="34"/>
  <c r="G19" i="34"/>
  <c r="K19" i="34" s="1"/>
  <c r="H25" i="35" s="1"/>
  <c r="G37" i="36" s="1"/>
  <c r="I19" i="34"/>
  <c r="G18" i="34"/>
  <c r="K18" i="34" s="1"/>
  <c r="H24" i="35" s="1"/>
  <c r="G36" i="36" s="1"/>
  <c r="I18" i="34"/>
  <c r="G17" i="34"/>
  <c r="K17" i="34" s="1"/>
  <c r="H23" i="35" s="1"/>
  <c r="G35" i="36" s="1"/>
  <c r="I17" i="34"/>
  <c r="G16" i="34"/>
  <c r="K16" i="34" s="1"/>
  <c r="H22" i="35" s="1"/>
  <c r="G34" i="36" s="1"/>
  <c r="I16" i="34"/>
  <c r="G15" i="34"/>
  <c r="K15" i="34" s="1"/>
  <c r="H21" i="35" s="1"/>
  <c r="G33" i="36" s="1"/>
  <c r="I15" i="34"/>
  <c r="G14" i="34"/>
  <c r="K14" i="34" s="1"/>
  <c r="H20" i="35" s="1"/>
  <c r="G32" i="36" s="1"/>
  <c r="I14" i="34"/>
  <c r="G13" i="34"/>
  <c r="K13" i="34" s="1"/>
  <c r="H19" i="35" s="1"/>
  <c r="G31" i="36" s="1"/>
  <c r="I13" i="34"/>
  <c r="G12" i="34"/>
  <c r="K12" i="34" s="1"/>
  <c r="H18" i="35" s="1"/>
  <c r="G30" i="36" s="1"/>
  <c r="I12" i="34"/>
  <c r="G11" i="34"/>
  <c r="K11" i="34" s="1"/>
  <c r="H17" i="35" s="1"/>
  <c r="G29" i="36" s="1"/>
  <c r="I11" i="34"/>
  <c r="G10" i="34"/>
  <c r="K10" i="34" s="1"/>
  <c r="H16" i="35" s="1"/>
  <c r="G28" i="36" s="1"/>
  <c r="I10" i="34"/>
  <c r="N30" i="34"/>
  <c r="J30" i="34"/>
  <c r="G36" i="35" s="1"/>
  <c r="N28" i="34"/>
  <c r="J28" i="34"/>
  <c r="G34" i="35" s="1"/>
  <c r="N27" i="34"/>
  <c r="J27" i="34"/>
  <c r="G33" i="35" s="1"/>
  <c r="N26" i="34"/>
  <c r="J26" i="34"/>
  <c r="G32" i="35" s="1"/>
  <c r="J25" i="34"/>
  <c r="G31" i="35" s="1"/>
  <c r="N24" i="34"/>
  <c r="J24" i="34"/>
  <c r="G30" i="35" s="1"/>
  <c r="N23" i="34"/>
  <c r="J23" i="34"/>
  <c r="G29" i="35" s="1"/>
  <c r="N22" i="34"/>
  <c r="J22" i="34"/>
  <c r="G28" i="35" s="1"/>
  <c r="N21" i="34"/>
  <c r="J21" i="34"/>
  <c r="G27" i="35" s="1"/>
  <c r="N20" i="34"/>
  <c r="J20" i="34"/>
  <c r="G26" i="35" s="1"/>
  <c r="N19" i="34"/>
  <c r="J19" i="34"/>
  <c r="G25" i="35" s="1"/>
  <c r="N18" i="34"/>
  <c r="J18" i="34"/>
  <c r="G24" i="35" s="1"/>
  <c r="N17" i="34"/>
  <c r="J17" i="34"/>
  <c r="G23" i="35" s="1"/>
  <c r="N16" i="34"/>
  <c r="J16" i="34"/>
  <c r="G22" i="35" s="1"/>
  <c r="N15" i="34"/>
  <c r="J15" i="34"/>
  <c r="G21" i="35" s="1"/>
  <c r="N14" i="34"/>
  <c r="J14" i="34"/>
  <c r="G20" i="35" s="1"/>
  <c r="N13" i="34"/>
  <c r="J13" i="34"/>
  <c r="G19" i="35" s="1"/>
  <c r="N12" i="34"/>
  <c r="J12" i="34"/>
  <c r="G18" i="35" s="1"/>
  <c r="N11" i="34"/>
  <c r="J11" i="34"/>
  <c r="G17" i="35" s="1"/>
  <c r="N10" i="34"/>
  <c r="J10" i="34"/>
  <c r="G16" i="35" s="1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N29" i="34" l="1"/>
  <c r="F28" i="36"/>
  <c r="J28" i="36" s="1"/>
  <c r="J16" i="35"/>
  <c r="F29" i="36"/>
  <c r="J29" i="36" s="1"/>
  <c r="J17" i="35"/>
  <c r="F30" i="36"/>
  <c r="J30" i="36" s="1"/>
  <c r="J18" i="35"/>
  <c r="F31" i="36"/>
  <c r="J31" i="36" s="1"/>
  <c r="J19" i="35"/>
  <c r="F32" i="36"/>
  <c r="J32" i="36" s="1"/>
  <c r="J20" i="35"/>
  <c r="F33" i="36"/>
  <c r="J33" i="36" s="1"/>
  <c r="J21" i="35"/>
  <c r="F34" i="36"/>
  <c r="J34" i="36" s="1"/>
  <c r="J22" i="35"/>
  <c r="F35" i="36"/>
  <c r="J35" i="36" s="1"/>
  <c r="J23" i="35"/>
  <c r="F36" i="36"/>
  <c r="J36" i="36" s="1"/>
  <c r="J24" i="35"/>
  <c r="F37" i="36"/>
  <c r="J37" i="36" s="1"/>
  <c r="J25" i="35"/>
  <c r="F38" i="36"/>
  <c r="J38" i="36" s="1"/>
  <c r="J26" i="35"/>
  <c r="F39" i="36"/>
  <c r="J39" i="36" s="1"/>
  <c r="J27" i="35"/>
  <c r="F40" i="36"/>
  <c r="J40" i="36" s="1"/>
  <c r="J28" i="35"/>
  <c r="F41" i="36"/>
  <c r="J41" i="36" s="1"/>
  <c r="J29" i="35"/>
  <c r="F42" i="36"/>
  <c r="J42" i="36" s="1"/>
  <c r="J30" i="35"/>
  <c r="F43" i="36"/>
  <c r="J43" i="36" s="1"/>
  <c r="J31" i="35"/>
  <c r="F44" i="36"/>
  <c r="J44" i="36" s="1"/>
  <c r="J32" i="35"/>
  <c r="F45" i="36"/>
  <c r="J45" i="36" s="1"/>
  <c r="J33" i="35"/>
  <c r="F46" i="36"/>
  <c r="J46" i="36" s="1"/>
  <c r="J34" i="35"/>
  <c r="F47" i="36"/>
  <c r="J47" i="36" s="1"/>
  <c r="J35" i="35"/>
  <c r="F48" i="36"/>
  <c r="J48" i="36" s="1"/>
  <c r="J36" i="35"/>
  <c r="D29" i="20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I16" i="18"/>
  <c r="G29" i="20" s="1"/>
  <c r="H16" i="18"/>
  <c r="F29" i="20" l="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L16" i="5"/>
</calcChain>
</file>

<file path=xl/sharedStrings.xml><?xml version="1.0" encoding="utf-8"?>
<sst xmlns="http://schemas.openxmlformats.org/spreadsheetml/2006/main" count="467" uniqueCount="194">
  <si>
    <t>Nomor</t>
  </si>
  <si>
    <t>No.</t>
  </si>
  <si>
    <t>Nama Barang</t>
  </si>
  <si>
    <t>Jumlah</t>
  </si>
  <si>
    <t>Nama</t>
  </si>
  <si>
    <t>Kode Barang</t>
  </si>
  <si>
    <t>NUSP</t>
  </si>
  <si>
    <t>Spesifikasi Nama Barang</t>
  </si>
  <si>
    <t>Satuan Barang</t>
  </si>
  <si>
    <t>Tanggal</t>
  </si>
  <si>
    <t>Dokumen</t>
  </si>
  <si>
    <t>Spesifikasi Barang</t>
  </si>
  <si>
    <t>Harga Satuan (Rp)</t>
  </si>
  <si>
    <t>Keterangan</t>
  </si>
  <si>
    <t>Kuasa Pengguna Barang</t>
  </si>
  <si>
    <t>Pengguna Barang</t>
  </si>
  <si>
    <t>Nilai Total (Rp)</t>
  </si>
  <si>
    <t xml:space="preserve"> </t>
  </si>
  <si>
    <t>Mengetahui</t>
  </si>
  <si>
    <t>: Kepala Dinas Pendidikan Provinsi Jawa Barat</t>
  </si>
  <si>
    <t>SURAT PERMINTAAN BARANG (SPB)</t>
  </si>
  <si>
    <t>Dasar Permintaan :</t>
  </si>
  <si>
    <t xml:space="preserve">a.  Nomor                                          </t>
  </si>
  <si>
    <t>:</t>
  </si>
  <si>
    <t xml:space="preserve">b.  Tanggal                                          </t>
  </si>
  <si>
    <t xml:space="preserve">c.  Pihak yang meminta                 </t>
  </si>
  <si>
    <t>Pengajuan Permintaan</t>
  </si>
  <si>
    <t>Informasi Sisa Barang persediaan</t>
  </si>
  <si>
    <t>Usulan Pengajuan Persetujuan</t>
  </si>
  <si>
    <t>Keperluan</t>
  </si>
  <si>
    <t>Ket.</t>
  </si>
  <si>
    <t>KARTU BARANG PERSEDIAAN</t>
  </si>
  <si>
    <t xml:space="preserve">Kode Barang                                                </t>
  </si>
  <si>
    <t xml:space="preserve">Nama Barang </t>
  </si>
  <si>
    <t>Masuk</t>
  </si>
  <si>
    <t>Keluar</t>
  </si>
  <si>
    <t>Sisa/Saldo Barang Tersedia</t>
  </si>
  <si>
    <t>Harga Satuan</t>
  </si>
  <si>
    <t>Total (Rp)</t>
  </si>
  <si>
    <t>1.</t>
  </si>
  <si>
    <t>NIP</t>
  </si>
  <si>
    <t xml:space="preserve">Jabatan </t>
  </si>
  <si>
    <r>
      <t xml:space="preserve">Selanjutnya disebut </t>
    </r>
    <r>
      <rPr>
        <b/>
        <sz val="11"/>
        <color theme="1"/>
        <rFont val="Times New Roman"/>
        <family val="1"/>
      </rPr>
      <t>PIHAK KESATU</t>
    </r>
  </si>
  <si>
    <t>2.</t>
  </si>
  <si>
    <t>PIHAK KEDUA</t>
  </si>
  <si>
    <t>Pihak yang meminta</t>
  </si>
  <si>
    <t>JUMLAH</t>
  </si>
  <si>
    <t>SATUAN BARANG</t>
  </si>
  <si>
    <t>KEPERLUAN</t>
  </si>
  <si>
    <t>KET.</t>
  </si>
  <si>
    <t>NO.</t>
  </si>
  <si>
    <t>Pemohon</t>
  </si>
  <si>
    <t>Dasar Penyaluran Pengeluaran Barang</t>
  </si>
  <si>
    <t>a. Nomor</t>
  </si>
  <si>
    <t>b. Tanggal</t>
  </si>
  <si>
    <t>c. Pihak Peminta</t>
  </si>
  <si>
    <t>Persetujuan Pengeluaran</t>
  </si>
  <si>
    <t>Satuan</t>
  </si>
  <si>
    <t>Pangkat/Gol</t>
  </si>
  <si>
    <t>Dalam hal ini bertindak sebagai penerima BMD berupa barang persediaan,</t>
  </si>
  <si>
    <r>
      <t xml:space="preserve">selanjutnya disebut </t>
    </r>
    <r>
      <rPr>
        <b/>
        <sz val="11"/>
        <color theme="1"/>
        <rFont val="Times New Roman"/>
        <family val="1"/>
      </rPr>
      <t>PIHAK KEDUA</t>
    </r>
  </si>
  <si>
    <t>Berita Acara Serah Terima ini dibuat sebagai bukti pengeluaran barang persediaan.</t>
  </si>
  <si>
    <t>PIHAK PERTAMA</t>
  </si>
  <si>
    <t>Pangkat/Gol.</t>
  </si>
  <si>
    <t>Jabatan</t>
  </si>
  <si>
    <t>Nilai (RP.)</t>
  </si>
  <si>
    <t xml:space="preserve">                                      BERITA ACARA SERAH TERIMA (BAST)</t>
  </si>
  <si>
    <t xml:space="preserve">                                   PENYALURAN BARANG PERSEDIAAN</t>
  </si>
  <si>
    <t>.</t>
  </si>
  <si>
    <t xml:space="preserve">       SURAT PERINTAH PENYALURAN BARANG (SPPB)</t>
  </si>
  <si>
    <t xml:space="preserve">     NOTA PERMINTAAN BARANG</t>
  </si>
  <si>
    <t xml:space="preserve">                                    Mengetahui</t>
  </si>
  <si>
    <r>
      <t xml:space="preserve">                              BERITA ACARA INVENTARISASI FISIK PERSEDIAAN (</t>
    </r>
    <r>
      <rPr>
        <b/>
        <i/>
        <sz val="11"/>
        <color theme="1"/>
        <rFont val="Times New Roman"/>
        <family val="1"/>
      </rPr>
      <t>STOCK OPNAME</t>
    </r>
    <r>
      <rPr>
        <b/>
        <sz val="11"/>
        <color theme="1"/>
        <rFont val="Times New Roman"/>
        <family val="1"/>
      </rPr>
      <t>)</t>
    </r>
  </si>
  <si>
    <t>TOTAL</t>
  </si>
  <si>
    <t>Uraian</t>
  </si>
  <si>
    <t xml:space="preserve">                                                           Nomor:</t>
  </si>
  <si>
    <t xml:space="preserve">                                Wakasek Sarpras  </t>
  </si>
  <si>
    <t xml:space="preserve">                       Pembantu Pengurus Barang</t>
  </si>
  <si>
    <t xml:space="preserve">                                             </t>
  </si>
  <si>
    <t xml:space="preserve">                       Cirebon,                    2025</t>
  </si>
  <si>
    <t>BULAN JANUARI 2025</t>
  </si>
  <si>
    <t xml:space="preserve">: </t>
  </si>
  <si>
    <t>: -</t>
  </si>
  <si>
    <r>
      <t xml:space="preserve">                                </t>
    </r>
    <r>
      <rPr>
        <b/>
        <sz val="11"/>
        <color theme="1"/>
        <rFont val="Times New Roman"/>
        <family val="1"/>
      </rPr>
      <t>NIP.</t>
    </r>
  </si>
  <si>
    <t xml:space="preserve">                         NIP.</t>
  </si>
  <si>
    <t>Bulan Persedian</t>
  </si>
  <si>
    <t>NO</t>
  </si>
  <si>
    <t>TANGGAL</t>
  </si>
  <si>
    <t>NAMA PENGAMBIL</t>
  </si>
  <si>
    <t>PARAF</t>
  </si>
  <si>
    <t>Cirebon,                    2025</t>
  </si>
  <si>
    <t xml:space="preserve"> Pembantu Pengurus Barang,</t>
  </si>
  <si>
    <t xml:space="preserve">  ….................................</t>
  </si>
  <si>
    <r>
      <t xml:space="preserve">  </t>
    </r>
    <r>
      <rPr>
        <b/>
        <sz val="14"/>
        <color theme="1"/>
        <rFont val="Calibri"/>
        <family val="2"/>
        <scheme val="minor"/>
      </rPr>
      <t>NIP</t>
    </r>
    <r>
      <rPr>
        <sz val="14"/>
        <color theme="1"/>
        <rFont val="Calibri"/>
        <family val="2"/>
        <charset val="1"/>
        <scheme val="minor"/>
      </rPr>
      <t xml:space="preserve"> </t>
    </r>
  </si>
  <si>
    <t xml:space="preserve">                                  …......................................</t>
  </si>
  <si>
    <t xml:space="preserve">  Pengurus Barang Pembantu</t>
  </si>
  <si>
    <t xml:space="preserve">          PEPEN APANDI</t>
  </si>
  <si>
    <r>
      <t xml:space="preserve">  </t>
    </r>
    <r>
      <rPr>
        <b/>
        <sz val="10"/>
        <color theme="1"/>
        <rFont val="Times New Roman"/>
        <family val="1"/>
      </rPr>
      <t>NIP.</t>
    </r>
    <r>
      <rPr>
        <b/>
        <sz val="11"/>
        <color theme="1"/>
        <rFont val="Calibri"/>
        <family val="2"/>
        <charset val="1"/>
        <scheme val="minor"/>
      </rPr>
      <t xml:space="preserve"> 19800101 200701 1 012</t>
    </r>
  </si>
  <si>
    <t>Kepala sub. Bagian Tata Usaha,</t>
  </si>
  <si>
    <t>HERMAN HADI SANTOSO, S.P, M.M</t>
  </si>
  <si>
    <t>Pembina Tk. I</t>
  </si>
  <si>
    <t>NIP. 19761202 200312 1 004</t>
  </si>
  <si>
    <t>: HERMAN HADI SANTOSO, S.P., M.M</t>
  </si>
  <si>
    <t>: 19761202 200312 1 004</t>
  </si>
  <si>
    <t>: Kepala Sub. Bagian Tata Usaha</t>
  </si>
  <si>
    <t>HERMAN HADI SANTOSO, S.P., M.M</t>
  </si>
  <si>
    <t>Rim</t>
  </si>
  <si>
    <t>SATUAN</t>
  </si>
  <si>
    <t>Bidang SMA/SMK</t>
  </si>
  <si>
    <t>: 001/NPB-APBD/I/2025</t>
  </si>
  <si>
    <t>Nomor: 001/SPPB-APBD/I/2025</t>
  </si>
  <si>
    <t xml:space="preserve">Pada hari ini Jumat tanggal Tiga Puluh Satu bulan Januari tahun Dua Ribu Dua Puluh Lima bertempat di Gudang Cabang Dinas Pendidikan Wilayah X Provinsi Jawa Barat, yang bertandatangan di bawah ini : </t>
  </si>
  <si>
    <t>BIDANG TU</t>
  </si>
  <si>
    <t>Bidang TU</t>
  </si>
  <si>
    <t>CETAK</t>
  </si>
  <si>
    <r>
      <t>Nomor</t>
    </r>
    <r>
      <rPr>
        <b/>
        <sz val="8"/>
        <color indexed="8"/>
        <rFont val="Times New Roman"/>
        <family val="1"/>
      </rPr>
      <t xml:space="preserve"> : 002</t>
    </r>
    <r>
      <rPr>
        <b/>
        <sz val="8"/>
        <color theme="1"/>
        <rFont val="Cambria"/>
        <family val="1"/>
      </rPr>
      <t>/SPB-APBD/I/2025</t>
    </r>
  </si>
  <si>
    <t>: 002/NPB-APBD/I/2025</t>
  </si>
  <si>
    <t>Nomor: 002/SPPB-APBD/I/2025</t>
  </si>
  <si>
    <t>: 002/SPB-APBD/I/2025</t>
  </si>
  <si>
    <t xml:space="preserve">       Nomor: 002/BAST-APBD/I/2025</t>
  </si>
  <si>
    <t>001/SPB-APBD/I/2025</t>
  </si>
  <si>
    <t>Bidang Tata Usaha</t>
  </si>
  <si>
    <t>001/BAST-APBD/I/2025</t>
  </si>
  <si>
    <t>Cirebon, 9 Januari 2025</t>
  </si>
  <si>
    <t>Pada hari ini Kamis tanggal Sembilan bulan Januari tahun Dua Ribu Dua Puluh Lima bertempat di Gudang Cabang Dinas Pendidikan Wilayah X Provinsi Jawa Barat, yang bertandatangan di bawah ini :</t>
  </si>
  <si>
    <r>
      <t xml:space="preserve">PIHAK KESATU </t>
    </r>
    <r>
      <rPr>
        <sz val="11"/>
        <color theme="1"/>
        <rFont val="Times New Roman"/>
        <family val="1"/>
      </rPr>
      <t xml:space="preserve">telah melakukan serah terima BMD pada </t>
    </r>
    <r>
      <rPr>
        <b/>
        <sz val="11"/>
        <color theme="1"/>
        <rFont val="Times New Roman"/>
        <family val="1"/>
      </rPr>
      <t>PIHAK KEDUA</t>
    </r>
    <r>
      <rPr>
        <sz val="11"/>
        <color theme="1"/>
        <rFont val="Times New Roman"/>
        <family val="1"/>
      </rPr>
      <t xml:space="preserve"> berupa barang persediaan berdasarkan Surat Perintah Penyaluran Barang (SPPB) Tanggal Sembilan Januari 2025 Nomor: 001/SPPB-APBD/I/2025 dengan rincian sebagai berikut:</t>
    </r>
  </si>
  <si>
    <t>: 8 Januari 2025</t>
  </si>
  <si>
    <t>: 9 Januari 2025</t>
  </si>
  <si>
    <t>: Bidang SMA/SMK</t>
  </si>
  <si>
    <t>Telah melakukan pemeriksaan fisik berupa barang persediaan pada Cabang Dinas Pendidikan Wilayah X sebagai berikut:</t>
  </si>
  <si>
    <t xml:space="preserve">                                           Mengetahui,</t>
  </si>
  <si>
    <t xml:space="preserve">                                  </t>
  </si>
  <si>
    <r>
      <t xml:space="preserve">         </t>
    </r>
    <r>
      <rPr>
        <b/>
        <sz val="12"/>
        <color theme="1"/>
        <rFont val="Times New Roman"/>
        <family val="1"/>
      </rPr>
      <t xml:space="preserve"> NIP. 19761202 200312 1 004</t>
    </r>
  </si>
  <si>
    <t>UUN, S.E</t>
  </si>
  <si>
    <t>NIP. 19800706 200701 2 011</t>
  </si>
  <si>
    <t>: UUN, S.E</t>
  </si>
  <si>
    <t>: 19800706 200701 2 011</t>
  </si>
  <si>
    <t>: Penata, III/c</t>
  </si>
  <si>
    <r>
      <t xml:space="preserve">        Nomor</t>
    </r>
    <r>
      <rPr>
        <b/>
        <sz val="8"/>
        <color indexed="8"/>
        <rFont val="Times New Roman"/>
        <family val="1"/>
      </rPr>
      <t xml:space="preserve"> :</t>
    </r>
    <r>
      <rPr>
        <b/>
        <sz val="8"/>
        <color theme="1"/>
        <rFont val="Cambria"/>
        <family val="1"/>
        <charset val="1"/>
      </rPr>
      <t xml:space="preserve"> 001/SPB-APBD/I/2025</t>
    </r>
  </si>
  <si>
    <t>:  Bidang Tata Usaha</t>
  </si>
  <si>
    <t>Cirebon,     Januari 2025</t>
  </si>
  <si>
    <t xml:space="preserve">      Nomor :          /NPB-APBD/I/2025 </t>
  </si>
  <si>
    <t>TGL NO BAST</t>
  </si>
  <si>
    <t>JUMLAH SATUAN</t>
  </si>
  <si>
    <t>KET</t>
  </si>
  <si>
    <t>BUKU PENGELUARAN PERSEDIAAN</t>
  </si>
  <si>
    <t>BUKU PENERIMAAN PERSEDIAAN</t>
  </si>
  <si>
    <t>001/inv/....</t>
  </si>
  <si>
    <t>Cv Indotama</t>
  </si>
  <si>
    <t>HVS F4</t>
  </si>
  <si>
    <t>Cirebon, 13 Januari 2025</t>
  </si>
  <si>
    <t>RIM</t>
  </si>
  <si>
    <t>Cirebon, 14 Januari 2025</t>
  </si>
  <si>
    <t>:  13 Januari 2025</t>
  </si>
  <si>
    <t>TANGGAL SPPB</t>
  </si>
  <si>
    <t>SPPB</t>
  </si>
  <si>
    <t>Cirebon, 31 Januari 2025</t>
  </si>
  <si>
    <t>PENERIMAAN</t>
  </si>
  <si>
    <t>BAST PENYALURAN</t>
  </si>
  <si>
    <t>NOMOR</t>
  </si>
  <si>
    <t>BAST</t>
  </si>
  <si>
    <t>KODE BARANG</t>
  </si>
  <si>
    <t>SPESIFIKASI NAMA BARANG</t>
  </si>
  <si>
    <t>SPESIFIKASI BARANG</t>
  </si>
  <si>
    <t>PENERIMA</t>
  </si>
  <si>
    <t>KETERANGAN</t>
  </si>
  <si>
    <t>BUKU PENYALURAN PERSEDIAAN</t>
  </si>
  <si>
    <t>NAMA KOORDINATOR</t>
  </si>
  <si>
    <t>NAMA</t>
  </si>
  <si>
    <t xml:space="preserve">NIP. </t>
  </si>
  <si>
    <t>Pembantu Pengurus Barang</t>
  </si>
  <si>
    <t>Wakasek Sarpras</t>
  </si>
  <si>
    <t>NIP.</t>
  </si>
  <si>
    <t>: Wakasek Sarpras</t>
  </si>
  <si>
    <t>Nomor: 001/BAST-APBD/I/2025</t>
  </si>
  <si>
    <t>PENYALURAN BARANG PERSEDIAAN</t>
  </si>
  <si>
    <t>BERITA ACARA SERAH TERIMA (BAST)</t>
  </si>
  <si>
    <t>14 Januari 2025</t>
  </si>
  <si>
    <t>TUTUP BUKU</t>
  </si>
  <si>
    <t>BAST SALUR</t>
  </si>
  <si>
    <t>Kepala Sekolah</t>
  </si>
  <si>
    <t xml:space="preserve">                      Kepala Sekolah SMA/SMK/SLB Negeri</t>
  </si>
  <si>
    <t xml:space="preserve">                                        NAMA</t>
  </si>
  <si>
    <t xml:space="preserve">                                        NIP. </t>
  </si>
  <si>
    <t>Amad</t>
  </si>
  <si>
    <t>Dafi</t>
  </si>
  <si>
    <t>Enzi</t>
  </si>
  <si>
    <t>Rezky</t>
  </si>
  <si>
    <t>Aminu</t>
  </si>
  <si>
    <t>Jardi</t>
  </si>
  <si>
    <t>…...</t>
  </si>
  <si>
    <t xml:space="preserve">FORMAT LAPORAN 
PENDISTRIBUSIAN </t>
  </si>
  <si>
    <t>Pada hari ini Kamis tanggal Empat Belas bulan Januari tahun Dua Ribu Dua Puluh Lima bertempat di Gudang Cabang Dinas Pendidikan Wilayah X Provinsi Jawa Barat, yang bertandatangan di bawah ini :</t>
  </si>
  <si>
    <r>
      <t xml:space="preserve">PIHAK KESATU </t>
    </r>
    <r>
      <rPr>
        <sz val="11"/>
        <color theme="1"/>
        <rFont val="Times New Roman"/>
        <family val="1"/>
      </rPr>
      <t xml:space="preserve">telah melakukan serah terima BMD pada </t>
    </r>
    <r>
      <rPr>
        <b/>
        <sz val="11"/>
        <color theme="1"/>
        <rFont val="Times New Roman"/>
        <family val="1"/>
      </rPr>
      <t>PIHAK KEDUA</t>
    </r>
    <r>
      <rPr>
        <sz val="11"/>
        <color theme="1"/>
        <rFont val="Times New Roman"/>
        <family val="1"/>
      </rPr>
      <t xml:space="preserve"> berupa barang persediaan berdasarkan Surat Perintah Penyaluran Barang (SPPB) Tanggal Empat Belas Januari 2025 Nomor: 001/SPPB-APBD/I/2025 dengan rincian sebagai berikut: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</si>
</sst>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_-;\-* #,##0_-;_-* &quot;-&quot;??_-;_-@_-"/>
    <numFmt numFmtId="165" formatCode="0000000"/>
    <numFmt numFmtId="166" formatCode="&quot;Rp&quot;#,##0.00"/>
    <numFmt numFmtId="167" formatCode="_-* #,##0.000_-;\-* #,##0.000_-;_-* &quot;-&quot;??_-;_-@_-"/>
    <numFmt numFmtId="168" formatCode="&quot;Rp&quot;#,##0"/>
    <numFmt numFmtId="169" formatCode="[$-421]dd\ mmmm\ yyyy;@"/>
  </numFmts>
  <fonts count="4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color theme="1"/>
      <name val="Cambria"/>
      <family val="1"/>
    </font>
    <font>
      <sz val="7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b/>
      <u/>
      <sz val="8"/>
      <color theme="1"/>
      <name val="Cambria"/>
      <family val="1"/>
    </font>
    <font>
      <sz val="8"/>
      <color theme="1"/>
      <name val="Cambria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  <charset val="1"/>
      <scheme val="minor"/>
    </font>
    <font>
      <sz val="9"/>
      <color theme="1"/>
      <name val="Cambria"/>
      <family val="1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1"/>
      <color rgb="FF545454"/>
      <name val="Cambria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Calibri"/>
      <family val="2"/>
      <charset val="1"/>
      <scheme val="minor"/>
    </font>
    <font>
      <b/>
      <sz val="8"/>
      <color theme="1"/>
      <name val="Cambria"/>
      <family val="1"/>
      <charset val="1"/>
    </font>
    <font>
      <b/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b/>
      <sz val="11"/>
      <color theme="1"/>
      <name val="Times New Roman"/>
      <family val="1"/>
      <charset val="1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charset val="1"/>
      <scheme val="minor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3" fillId="0" borderId="0"/>
    <xf numFmtId="41" fontId="23" fillId="0" borderId="0" applyFont="0" applyFill="0" applyBorder="0" applyAlignment="0" applyProtection="0"/>
  </cellStyleXfs>
  <cellXfs count="252">
    <xf numFmtId="0" fontId="0" fillId="0" borderId="0" xfId="0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2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2" applyAlignment="1">
      <alignment horizontal="center" vertical="center"/>
    </xf>
    <xf numFmtId="0" fontId="2" fillId="0" borderId="0" xfId="0" applyFont="1"/>
    <xf numFmtId="0" fontId="1" fillId="0" borderId="0" xfId="2" applyAlignment="1">
      <alignment vertical="center"/>
    </xf>
    <xf numFmtId="14" fontId="1" fillId="0" borderId="0" xfId="2" applyNumberForma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2" applyFont="1" applyAlignment="1">
      <alignment vertical="center"/>
    </xf>
    <xf numFmtId="43" fontId="6" fillId="0" borderId="1" xfId="1" applyFont="1" applyBorder="1" applyAlignment="1">
      <alignment vertical="center" wrapText="1"/>
    </xf>
    <xf numFmtId="0" fontId="4" fillId="0" borderId="0" xfId="2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1" xfId="0" quotePrefix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5" fillId="0" borderId="0" xfId="0" applyFont="1"/>
    <xf numFmtId="0" fontId="18" fillId="0" borderId="0" xfId="0" applyFont="1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center" wrapText="1" indent="3"/>
    </xf>
    <xf numFmtId="0" fontId="19" fillId="0" borderId="1" xfId="0" applyFont="1" applyBorder="1" applyAlignment="1">
      <alignment horizontal="left" vertical="center" wrapText="1" indent="2"/>
    </xf>
    <xf numFmtId="15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5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64" fontId="21" fillId="0" borderId="0" xfId="1" applyNumberFormat="1" applyFont="1" applyBorder="1" applyAlignment="1">
      <alignment vertical="center" wrapText="1"/>
    </xf>
    <xf numFmtId="164" fontId="20" fillId="0" borderId="0" xfId="1" applyNumberFormat="1" applyFont="1" applyBorder="1" applyAlignment="1">
      <alignment vertical="center" wrapText="1"/>
    </xf>
    <xf numFmtId="164" fontId="20" fillId="0" borderId="0" xfId="0" applyNumberFormat="1" applyFon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22" fillId="0" borderId="0" xfId="0" applyFont="1"/>
    <xf numFmtId="0" fontId="20" fillId="0" borderId="1" xfId="0" applyFont="1" applyBorder="1" applyAlignment="1">
      <alignment horizontal="center" vertical="center" wrapText="1"/>
    </xf>
    <xf numFmtId="0" fontId="24" fillId="0" borderId="0" xfId="4" applyFont="1"/>
    <xf numFmtId="0" fontId="25" fillId="0" borderId="0" xfId="4" applyFont="1" applyAlignment="1">
      <alignment horizontal="centerContinuous"/>
    </xf>
    <xf numFmtId="0" fontId="24" fillId="0" borderId="0" xfId="4" applyFont="1" applyAlignment="1">
      <alignment horizontal="centerContinuous"/>
    </xf>
    <xf numFmtId="0" fontId="25" fillId="0" borderId="0" xfId="4" applyFont="1"/>
    <xf numFmtId="0" fontId="24" fillId="0" borderId="0" xfId="4" applyFont="1" applyAlignment="1">
      <alignment vertical="center"/>
    </xf>
    <xf numFmtId="0" fontId="24" fillId="0" borderId="0" xfId="4" quotePrefix="1" applyFont="1"/>
    <xf numFmtId="0" fontId="25" fillId="0" borderId="1" xfId="4" applyFont="1" applyBorder="1" applyAlignment="1">
      <alignment horizontal="center" vertical="center" wrapText="1"/>
    </xf>
    <xf numFmtId="0" fontId="24" fillId="0" borderId="2" xfId="4" applyFont="1" applyBorder="1" applyAlignment="1">
      <alignment vertical="center" wrapText="1"/>
    </xf>
    <xf numFmtId="165" fontId="24" fillId="0" borderId="1" xfId="4" applyNumberFormat="1" applyFont="1" applyBorder="1" applyAlignment="1">
      <alignment horizontal="center" vertical="center" wrapText="1"/>
    </xf>
    <xf numFmtId="0" fontId="24" fillId="0" borderId="12" xfId="4" applyFont="1" applyBorder="1" applyAlignment="1">
      <alignment vertical="center" wrapText="1"/>
    </xf>
    <xf numFmtId="0" fontId="24" fillId="0" borderId="3" xfId="4" applyFont="1" applyBorder="1" applyAlignment="1">
      <alignment vertical="center"/>
    </xf>
    <xf numFmtId="0" fontId="24" fillId="0" borderId="4" xfId="4" applyFont="1" applyBorder="1"/>
    <xf numFmtId="0" fontId="24" fillId="0" borderId="10" xfId="4" applyFont="1" applyBorder="1"/>
    <xf numFmtId="0" fontId="24" fillId="0" borderId="14" xfId="4" applyFont="1" applyBorder="1" applyAlignment="1">
      <alignment vertical="center"/>
    </xf>
    <xf numFmtId="0" fontId="24" fillId="0" borderId="0" xfId="4" applyFont="1" applyAlignment="1">
      <alignment vertical="center" wrapText="1"/>
    </xf>
    <xf numFmtId="41" fontId="24" fillId="0" borderId="2" xfId="5" applyFont="1" applyBorder="1" applyAlignment="1">
      <alignment vertical="center" wrapText="1"/>
    </xf>
    <xf numFmtId="41" fontId="24" fillId="0" borderId="8" xfId="5" applyFont="1" applyBorder="1" applyAlignment="1">
      <alignment vertical="center" wrapText="1"/>
    </xf>
    <xf numFmtId="41" fontId="24" fillId="0" borderId="12" xfId="5" applyFont="1" applyBorder="1" applyAlignment="1">
      <alignment vertical="center" wrapText="1"/>
    </xf>
    <xf numFmtId="165" fontId="24" fillId="0" borderId="8" xfId="4" applyNumberFormat="1" applyFont="1" applyBorder="1" applyAlignment="1">
      <alignment horizontal="center" vertical="center" wrapText="1"/>
    </xf>
    <xf numFmtId="165" fontId="24" fillId="0" borderId="2" xfId="4" applyNumberFormat="1" applyFont="1" applyBorder="1" applyAlignment="1">
      <alignment horizontal="center" vertical="center" wrapText="1"/>
    </xf>
    <xf numFmtId="165" fontId="24" fillId="0" borderId="12" xfId="4" applyNumberFormat="1" applyFont="1" applyBorder="1" applyAlignment="1">
      <alignment horizontal="center" vertical="center" wrapText="1"/>
    </xf>
    <xf numFmtId="0" fontId="24" fillId="0" borderId="0" xfId="4" applyFont="1" applyAlignment="1">
      <alignment horizontal="center"/>
    </xf>
    <xf numFmtId="0" fontId="24" fillId="0" borderId="14" xfId="4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4" fillId="0" borderId="0" xfId="4" applyFont="1" applyAlignment="1">
      <alignment horizontal="left"/>
    </xf>
    <xf numFmtId="0" fontId="25" fillId="0" borderId="0" xfId="4" applyFont="1" applyAlignment="1">
      <alignment horizontal="left"/>
    </xf>
    <xf numFmtId="0" fontId="6" fillId="0" borderId="1" xfId="3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24" fillId="0" borderId="0" xfId="4" applyFont="1" applyAlignment="1">
      <alignment horizontal="right"/>
    </xf>
    <xf numFmtId="0" fontId="0" fillId="0" borderId="1" xfId="0" applyBorder="1"/>
    <xf numFmtId="43" fontId="21" fillId="0" borderId="2" xfId="1" applyFont="1" applyBorder="1" applyAlignment="1">
      <alignment vertical="center" wrapText="1"/>
    </xf>
    <xf numFmtId="43" fontId="21" fillId="0" borderId="12" xfId="1" applyFont="1" applyBorder="1" applyAlignment="1">
      <alignment vertical="center" wrapText="1"/>
    </xf>
    <xf numFmtId="0" fontId="31" fillId="0" borderId="0" xfId="0" applyFont="1"/>
    <xf numFmtId="0" fontId="32" fillId="0" borderId="0" xfId="0" applyFont="1"/>
    <xf numFmtId="0" fontId="25" fillId="0" borderId="0" xfId="0" applyFont="1"/>
    <xf numFmtId="0" fontId="24" fillId="0" borderId="2" xfId="4" applyFont="1" applyBorder="1" applyAlignment="1">
      <alignment horizontal="center" vertical="center" wrapText="1"/>
    </xf>
    <xf numFmtId="0" fontId="24" fillId="0" borderId="12" xfId="4" applyFont="1" applyBorder="1" applyAlignment="1">
      <alignment horizontal="center" vertical="center" wrapText="1"/>
    </xf>
    <xf numFmtId="43" fontId="6" fillId="0" borderId="0" xfId="1" applyFont="1" applyFill="1" applyBorder="1" applyAlignment="1">
      <alignment vertical="center" wrapText="1"/>
    </xf>
    <xf numFmtId="43" fontId="21" fillId="0" borderId="8" xfId="1" applyFont="1" applyBorder="1" applyAlignment="1">
      <alignment vertical="center" wrapText="1"/>
    </xf>
    <xf numFmtId="0" fontId="24" fillId="0" borderId="0" xfId="2" applyFont="1" applyAlignment="1">
      <alignment vertical="center"/>
    </xf>
    <xf numFmtId="0" fontId="24" fillId="0" borderId="3" xfId="4" applyFont="1" applyBorder="1" applyAlignment="1">
      <alignment horizontal="center" vertical="center"/>
    </xf>
    <xf numFmtId="0" fontId="24" fillId="0" borderId="14" xfId="4" applyFont="1" applyBorder="1" applyAlignment="1">
      <alignment horizontal="center" vertical="center"/>
    </xf>
    <xf numFmtId="0" fontId="24" fillId="0" borderId="9" xfId="4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23" fillId="0" borderId="0" xfId="4" applyAlignment="1">
      <alignment horizontal="center"/>
    </xf>
    <xf numFmtId="15" fontId="6" fillId="0" borderId="1" xfId="1" applyNumberFormat="1" applyFont="1" applyBorder="1" applyAlignment="1">
      <alignment horizontal="center" vertical="center" wrapText="1"/>
    </xf>
    <xf numFmtId="2" fontId="24" fillId="0" borderId="0" xfId="4" applyNumberFormat="1" applyFont="1"/>
    <xf numFmtId="0" fontId="24" fillId="0" borderId="0" xfId="4" applyFont="1" applyAlignment="1">
      <alignment wrapText="1"/>
    </xf>
    <xf numFmtId="41" fontId="24" fillId="0" borderId="2" xfId="5" applyFont="1" applyBorder="1" applyAlignment="1">
      <alignment horizontal="center" vertical="center" wrapText="1"/>
    </xf>
    <xf numFmtId="41" fontId="24" fillId="0" borderId="12" xfId="5" applyFont="1" applyBorder="1" applyAlignment="1">
      <alignment horizontal="center" vertical="center" wrapText="1"/>
    </xf>
    <xf numFmtId="41" fontId="24" fillId="0" borderId="8" xfId="5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3" fillId="0" borderId="10" xfId="4" applyBorder="1" applyAlignment="1">
      <alignment horizontal="center"/>
    </xf>
    <xf numFmtId="0" fontId="1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43" fontId="0" fillId="0" borderId="0" xfId="0" applyNumberFormat="1"/>
    <xf numFmtId="167" fontId="6" fillId="0" borderId="1" xfId="1" applyNumberFormat="1" applyFont="1" applyBorder="1" applyAlignment="1">
      <alignment vertical="center" wrapText="1"/>
    </xf>
    <xf numFmtId="167" fontId="4" fillId="0" borderId="1" xfId="0" applyNumberFormat="1" applyFont="1" applyBorder="1"/>
    <xf numFmtId="43" fontId="24" fillId="0" borderId="0" xfId="1" applyFont="1"/>
    <xf numFmtId="0" fontId="24" fillId="0" borderId="9" xfId="4" applyFont="1" applyBorder="1" applyAlignment="1">
      <alignment vertical="center"/>
    </xf>
    <xf numFmtId="0" fontId="24" fillId="0" borderId="8" xfId="4" applyFont="1" applyBorder="1" applyAlignment="1">
      <alignment horizontal="center" vertical="center" wrapText="1"/>
    </xf>
    <xf numFmtId="166" fontId="25" fillId="0" borderId="6" xfId="5" applyNumberFormat="1" applyFont="1" applyBorder="1" applyAlignment="1">
      <alignment vertical="center" wrapText="1"/>
    </xf>
    <xf numFmtId="168" fontId="25" fillId="0" borderId="6" xfId="5" applyNumberFormat="1" applyFont="1" applyBorder="1" applyAlignment="1">
      <alignment vertical="center" wrapText="1"/>
    </xf>
    <xf numFmtId="41" fontId="24" fillId="0" borderId="2" xfId="4" quotePrefix="1" applyNumberFormat="1" applyFont="1" applyBorder="1" applyAlignment="1">
      <alignment horizontal="center" vertical="center" wrapText="1"/>
    </xf>
    <xf numFmtId="41" fontId="24" fillId="0" borderId="12" xfId="4" applyNumberFormat="1" applyFont="1" applyBorder="1" applyAlignment="1">
      <alignment horizontal="center" vertical="center" wrapText="1"/>
    </xf>
    <xf numFmtId="14" fontId="4" fillId="0" borderId="0" xfId="2" applyNumberFormat="1" applyFont="1" applyAlignment="1">
      <alignment vertical="center" wrapText="1"/>
    </xf>
    <xf numFmtId="14" fontId="1" fillId="0" borderId="0" xfId="2" applyNumberFormat="1" applyAlignment="1">
      <alignment vertical="center" wrapText="1"/>
    </xf>
    <xf numFmtId="0" fontId="24" fillId="0" borderId="0" xfId="4" applyFont="1" applyAlignment="1">
      <alignment horizontal="center" vertical="center" wrapText="1"/>
    </xf>
    <xf numFmtId="43" fontId="21" fillId="0" borderId="0" xfId="1" applyFont="1" applyBorder="1" applyAlignment="1">
      <alignment vertical="center" wrapText="1"/>
    </xf>
    <xf numFmtId="165" fontId="24" fillId="0" borderId="0" xfId="4" applyNumberFormat="1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4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7" fillId="0" borderId="0" xfId="0" applyFont="1"/>
    <xf numFmtId="0" fontId="24" fillId="0" borderId="10" xfId="4" applyFont="1" applyBorder="1" applyAlignment="1">
      <alignment vertical="center" wrapText="1"/>
    </xf>
    <xf numFmtId="0" fontId="24" fillId="0" borderId="11" xfId="4" applyFont="1" applyBorder="1" applyAlignment="1">
      <alignment vertical="center" wrapText="1"/>
    </xf>
    <xf numFmtId="0" fontId="24" fillId="0" borderId="4" xfId="4" applyFont="1" applyBorder="1" applyAlignment="1">
      <alignment vertical="center"/>
    </xf>
    <xf numFmtId="0" fontId="24" fillId="0" borderId="5" xfId="4" applyFont="1" applyBorder="1" applyAlignment="1">
      <alignment vertical="center"/>
    </xf>
    <xf numFmtId="0" fontId="24" fillId="0" borderId="15" xfId="4" applyFont="1" applyBorder="1" applyAlignment="1">
      <alignment vertical="center" wrapText="1"/>
    </xf>
    <xf numFmtId="0" fontId="24" fillId="0" borderId="15" xfId="4" applyFont="1" applyBorder="1" applyAlignment="1">
      <alignment vertical="center"/>
    </xf>
    <xf numFmtId="0" fontId="24" fillId="0" borderId="11" xfId="4" applyFont="1" applyBorder="1" applyAlignment="1">
      <alignment vertical="center"/>
    </xf>
    <xf numFmtId="41" fontId="1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0" borderId="10" xfId="4" applyFont="1" applyBorder="1" applyAlignment="1">
      <alignment vertical="center"/>
    </xf>
    <xf numFmtId="0" fontId="24" fillId="0" borderId="14" xfId="4" applyFont="1" applyBorder="1" applyAlignment="1">
      <alignment horizontal="center" vertical="center" wrapText="1"/>
    </xf>
    <xf numFmtId="0" fontId="24" fillId="0" borderId="15" xfId="4" applyFont="1" applyBorder="1" applyAlignment="1">
      <alignment horizontal="center" vertical="center" wrapText="1"/>
    </xf>
    <xf numFmtId="0" fontId="24" fillId="0" borderId="9" xfId="4" applyFont="1" applyBorder="1" applyAlignment="1">
      <alignment horizontal="center" vertical="center" wrapText="1"/>
    </xf>
    <xf numFmtId="0" fontId="24" fillId="0" borderId="11" xfId="4" applyFont="1" applyBorder="1" applyAlignment="1">
      <alignment horizontal="center" vertical="center" wrapText="1"/>
    </xf>
    <xf numFmtId="41" fontId="6" fillId="0" borderId="1" xfId="1" applyNumberFormat="1" applyFont="1" applyBorder="1" applyAlignment="1">
      <alignment vertical="center" wrapText="1"/>
    </xf>
    <xf numFmtId="0" fontId="24" fillId="0" borderId="5" xfId="4" applyFont="1" applyBorder="1" applyAlignment="1">
      <alignment horizontal="center" vertical="center" wrapText="1"/>
    </xf>
    <xf numFmtId="0" fontId="41" fillId="0" borderId="0" xfId="0" applyFont="1" applyAlignment="1">
      <alignment horizontal="center" wrapText="1"/>
    </xf>
    <xf numFmtId="0" fontId="24" fillId="0" borderId="10" xfId="4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left"/>
    </xf>
    <xf numFmtId="49" fontId="20" fillId="0" borderId="1" xfId="0" applyNumberFormat="1" applyFont="1" applyBorder="1" applyAlignment="1">
      <alignment horizontal="center" vertical="center" wrapText="1"/>
    </xf>
    <xf numFmtId="169" fontId="20" fillId="0" borderId="1" xfId="0" applyNumberFormat="1" applyFont="1" applyBorder="1" applyAlignment="1">
      <alignment horizontal="center" vertical="center" wrapText="1"/>
    </xf>
    <xf numFmtId="0" fontId="42" fillId="0" borderId="0" xfId="4" applyFont="1"/>
    <xf numFmtId="14" fontId="37" fillId="0" borderId="0" xfId="2" applyNumberFormat="1" applyFont="1" applyAlignment="1">
      <alignment vertical="center" wrapText="1"/>
    </xf>
    <xf numFmtId="14" fontId="37" fillId="0" borderId="0" xfId="2" applyNumberFormat="1" applyFont="1" applyAlignment="1">
      <alignment vertical="center"/>
    </xf>
    <xf numFmtId="0" fontId="37" fillId="0" borderId="0" xfId="2" applyFont="1" applyAlignment="1">
      <alignment vertical="center"/>
    </xf>
    <xf numFmtId="0" fontId="44" fillId="0" borderId="0" xfId="2" applyFont="1" applyAlignment="1">
      <alignment vertical="center"/>
    </xf>
    <xf numFmtId="0" fontId="20" fillId="0" borderId="1" xfId="1" applyNumberFormat="1" applyFont="1" applyBorder="1" applyAlignment="1">
      <alignment vertical="center" wrapText="1"/>
    </xf>
    <xf numFmtId="0" fontId="21" fillId="0" borderId="1" xfId="1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8" fillId="0" borderId="0" xfId="0" applyFont="1" applyAlignment="1">
      <alignment vertical="center" wrapText="1"/>
    </xf>
    <xf numFmtId="0" fontId="42" fillId="2" borderId="0" xfId="4" applyFont="1" applyFill="1"/>
    <xf numFmtId="0" fontId="33" fillId="0" borderId="0" xfId="2" applyFont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24" fillId="0" borderId="0" xfId="2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0" fontId="36" fillId="0" borderId="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25" fillId="0" borderId="0" xfId="4" applyFont="1" applyAlignment="1">
      <alignment horizontal="center"/>
    </xf>
    <xf numFmtId="0" fontId="25" fillId="0" borderId="0" xfId="4" applyFont="1" applyAlignment="1"/>
    <xf numFmtId="41" fontId="20" fillId="0" borderId="1" xfId="3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4" fontId="1" fillId="0" borderId="0" xfId="2" applyNumberFormat="1" applyAlignment="1">
      <alignment horizontal="center" vertical="center" wrapText="1"/>
    </xf>
    <xf numFmtId="0" fontId="1" fillId="0" borderId="0" xfId="2" applyAlignment="1">
      <alignment horizontal="center" vertical="center"/>
    </xf>
    <xf numFmtId="14" fontId="10" fillId="0" borderId="0" xfId="2" applyNumberFormat="1" applyFont="1" applyAlignment="1">
      <alignment horizontal="center" vertical="center" wrapText="1"/>
    </xf>
    <xf numFmtId="14" fontId="4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44" fontId="24" fillId="0" borderId="0" xfId="2" applyNumberFormat="1" applyFont="1" applyAlignment="1">
      <alignment horizontal="center" vertical="center"/>
    </xf>
    <xf numFmtId="0" fontId="33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4" applyFont="1" applyAlignment="1">
      <alignment horizontal="center"/>
    </xf>
    <xf numFmtId="0" fontId="25" fillId="0" borderId="2" xfId="4" applyFont="1" applyBorder="1" applyAlignment="1">
      <alignment horizontal="center" vertical="center" wrapText="1"/>
    </xf>
    <xf numFmtId="0" fontId="25" fillId="0" borderId="8" xfId="4" applyFont="1" applyBorder="1" applyAlignment="1">
      <alignment horizontal="center" vertical="center" wrapText="1"/>
    </xf>
    <xf numFmtId="0" fontId="25" fillId="0" borderId="1" xfId="4" applyFont="1" applyBorder="1" applyAlignment="1">
      <alignment horizontal="center" vertical="center" wrapText="1"/>
    </xf>
    <xf numFmtId="0" fontId="25" fillId="0" borderId="3" xfId="4" applyFont="1" applyBorder="1" applyAlignment="1">
      <alignment horizontal="center" vertical="center" wrapText="1"/>
    </xf>
    <xf numFmtId="0" fontId="25" fillId="0" borderId="9" xfId="4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4" fillId="0" borderId="0" xfId="4" applyFont="1" applyAlignment="1">
      <alignment horizontal="center" vertical="center" wrapText="1"/>
    </xf>
    <xf numFmtId="0" fontId="24" fillId="0" borderId="2" xfId="4" applyFont="1" applyBorder="1" applyAlignment="1">
      <alignment horizontal="center" vertical="center" wrapText="1"/>
    </xf>
    <xf numFmtId="0" fontId="24" fillId="0" borderId="3" xfId="4" applyFont="1" applyBorder="1" applyAlignment="1">
      <alignment horizontal="center" vertical="center" wrapText="1"/>
    </xf>
    <xf numFmtId="0" fontId="25" fillId="0" borderId="5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5" fillId="0" borderId="4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4" fillId="0" borderId="14" xfId="4" applyFont="1" applyBorder="1" applyAlignment="1">
      <alignment horizontal="center" vertical="center" wrapText="1"/>
    </xf>
    <xf numFmtId="0" fontId="24" fillId="0" borderId="15" xfId="4" applyFont="1" applyBorder="1" applyAlignment="1">
      <alignment horizontal="center" vertical="center" wrapText="1"/>
    </xf>
    <xf numFmtId="0" fontId="24" fillId="0" borderId="12" xfId="4" applyFont="1" applyBorder="1" applyAlignment="1">
      <alignment horizontal="center" vertical="center" wrapText="1"/>
    </xf>
    <xf numFmtId="0" fontId="24" fillId="0" borderId="0" xfId="4" applyFont="1" applyAlignment="1">
      <alignment horizontal="justify" vertical="distributed"/>
    </xf>
    <xf numFmtId="0" fontId="25" fillId="0" borderId="0" xfId="4" applyFont="1" applyAlignment="1">
      <alignment horizontal="justify" vertical="distributed"/>
    </xf>
    <xf numFmtId="0" fontId="17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4" fillId="0" borderId="0" xfId="2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14" fontId="43" fillId="0" borderId="0" xfId="2" applyNumberFormat="1" applyFont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5" fillId="0" borderId="0" xfId="4" applyFont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25" fillId="0" borderId="14" xfId="4" applyFont="1" applyBorder="1" applyAlignment="1">
      <alignment horizontal="center" vertical="center"/>
    </xf>
    <xf numFmtId="0" fontId="25" fillId="0" borderId="0" xfId="4" applyFont="1" applyAlignment="1">
      <alignment horizontal="left"/>
    </xf>
    <xf numFmtId="0" fontId="25" fillId="0" borderId="6" xfId="4" applyFont="1" applyBorder="1" applyAlignment="1">
      <alignment horizontal="center" vertical="center" wrapText="1"/>
    </xf>
    <xf numFmtId="0" fontId="25" fillId="0" borderId="13" xfId="4" applyFont="1" applyBorder="1" applyAlignment="1">
      <alignment horizontal="center" vertical="center" wrapText="1"/>
    </xf>
    <xf numFmtId="0" fontId="25" fillId="0" borderId="7" xfId="4" applyFont="1" applyBorder="1" applyAlignment="1">
      <alignment horizontal="center" vertical="center" wrapText="1"/>
    </xf>
    <xf numFmtId="0" fontId="24" fillId="0" borderId="5" xfId="4" applyFont="1" applyBorder="1" applyAlignment="1">
      <alignment horizontal="center" vertical="center" wrapText="1"/>
    </xf>
    <xf numFmtId="0" fontId="24" fillId="0" borderId="12" xfId="4" applyFont="1" applyBorder="1" applyAlignment="1">
      <alignment vertical="center" wrapText="1"/>
    </xf>
    <xf numFmtId="0" fontId="25" fillId="0" borderId="0" xfId="2" applyFont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4" fillId="0" borderId="0" xfId="0" applyFont="1" applyAlignment="1">
      <alignment horizontal="center"/>
    </xf>
    <xf numFmtId="17" fontId="0" fillId="0" borderId="6" xfId="0" applyNumberFormat="1" applyBorder="1"/>
    <xf numFmtId="17" fontId="0" fillId="0" borderId="7" xfId="0" applyNumberFormat="1" applyBorder="1"/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</cellXfs>
  <cellStyles count="6">
    <cellStyle name="Comma" xfId="1" builtinId="3"/>
    <cellStyle name="Comma [0]" xfId="3" builtinId="6"/>
    <cellStyle name="Comma [0] 2" xfId="5" xr:uid="{C8F5B7D1-52D7-44C9-B4CF-EC029F3F5219}"/>
    <cellStyle name="Normal" xfId="0" builtinId="0"/>
    <cellStyle name="Normal 2" xfId="2" xr:uid="{00000000-0005-0000-0000-000002000000}"/>
    <cellStyle name="Normal 3" xfId="4" xr:uid="{A4DCC16F-B559-469A-B9E7-83B929B78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38100</xdr:colOff>
      <xdr:row>3</xdr:row>
      <xdr:rowOff>57150</xdr:rowOff>
    </xdr:to>
    <xdr:grpSp>
      <xdr:nvGrpSpPr>
        <xdr:cNvPr id="7577" name="Group 1">
          <a:extLst>
            <a:ext uri="{FF2B5EF4-FFF2-40B4-BE49-F238E27FC236}">
              <a16:creationId xmlns:a16="http://schemas.microsoft.com/office/drawing/2014/main" id="{8A77CA8D-9BD6-44CE-AD2F-8E1282F1A3AE}"/>
            </a:ext>
          </a:extLst>
        </xdr:cNvPr>
        <xdr:cNvGrpSpPr>
          <a:grpSpLocks/>
        </xdr:cNvGrpSpPr>
      </xdr:nvGrpSpPr>
      <xdr:grpSpPr bwMode="auto">
        <a:xfrm>
          <a:off x="4912895" y="589046"/>
          <a:ext cx="38100" cy="57150"/>
          <a:chOff x="0" y="0"/>
          <a:chExt cx="46990" cy="49530"/>
        </a:xfrm>
      </xdr:grpSpPr>
      <xdr:sp macro="" textlink="">
        <xdr:nvSpPr>
          <xdr:cNvPr id="7595" name="Graphic 508">
            <a:extLst>
              <a:ext uri="{FF2B5EF4-FFF2-40B4-BE49-F238E27FC236}">
                <a16:creationId xmlns:a16="http://schemas.microsoft.com/office/drawing/2014/main" id="{221771D6-15FC-482E-B423-402255A04AE2}"/>
              </a:ext>
            </a:extLst>
          </xdr:cNvPr>
          <xdr:cNvSpPr>
            <a:spLocks/>
          </xdr:cNvSpPr>
        </xdr:nvSpPr>
        <xdr:spPr bwMode="auto">
          <a:xfrm>
            <a:off x="2578" y="2708"/>
            <a:ext cx="41275" cy="1270"/>
          </a:xfrm>
          <a:custGeom>
            <a:avLst/>
            <a:gdLst>
              <a:gd name="T0" fmla="*/ 0 w 41275"/>
              <a:gd name="T1" fmla="*/ 0 h 1270"/>
              <a:gd name="T2" fmla="*/ 41257 w 412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1275" h="1270">
                <a:moveTo>
                  <a:pt x="0" y="0"/>
                </a:moveTo>
                <a:lnTo>
                  <a:pt x="412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96" name="Graphic 509">
            <a:extLst>
              <a:ext uri="{FF2B5EF4-FFF2-40B4-BE49-F238E27FC236}">
                <a16:creationId xmlns:a16="http://schemas.microsoft.com/office/drawing/2014/main" id="{D69D184F-904C-4F95-8375-3A3735298D4B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6990" cy="5715"/>
          </a:xfrm>
          <a:custGeom>
            <a:avLst/>
            <a:gdLst>
              <a:gd name="T0" fmla="*/ 46414 w 46990"/>
              <a:gd name="T1" fmla="*/ 0 h 5715"/>
              <a:gd name="T2" fmla="*/ 0 w 46990"/>
              <a:gd name="T3" fmla="*/ 0 h 5715"/>
              <a:gd name="T4" fmla="*/ 0 w 46990"/>
              <a:gd name="T5" fmla="*/ 5417 h 5715"/>
              <a:gd name="T6" fmla="*/ 46414 w 46990"/>
              <a:gd name="T7" fmla="*/ 5417 h 5715"/>
              <a:gd name="T8" fmla="*/ 46414 w 46990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6990" h="5715">
                <a:moveTo>
                  <a:pt x="46414" y="0"/>
                </a:moveTo>
                <a:lnTo>
                  <a:pt x="0" y="0"/>
                </a:lnTo>
                <a:lnTo>
                  <a:pt x="0" y="5417"/>
                </a:lnTo>
                <a:lnTo>
                  <a:pt x="46414" y="5417"/>
                </a:lnTo>
                <a:lnTo>
                  <a:pt x="4641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97" name="Graphic 510">
            <a:extLst>
              <a:ext uri="{FF2B5EF4-FFF2-40B4-BE49-F238E27FC236}">
                <a16:creationId xmlns:a16="http://schemas.microsoft.com/office/drawing/2014/main" id="{D760D3C9-33B7-499D-9E4C-20337FAB0451}"/>
              </a:ext>
            </a:extLst>
          </xdr:cNvPr>
          <xdr:cNvSpPr>
            <a:spLocks/>
          </xdr:cNvSpPr>
        </xdr:nvSpPr>
        <xdr:spPr bwMode="auto">
          <a:xfrm>
            <a:off x="2578" y="8125"/>
            <a:ext cx="36195" cy="1270"/>
          </a:xfrm>
          <a:custGeom>
            <a:avLst/>
            <a:gdLst>
              <a:gd name="T0" fmla="*/ 0 w 36195"/>
              <a:gd name="T1" fmla="*/ 0 h 1270"/>
              <a:gd name="T2" fmla="*/ 36099 w 361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6195" h="1270">
                <a:moveTo>
                  <a:pt x="0" y="0"/>
                </a:moveTo>
                <a:lnTo>
                  <a:pt x="36099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98" name="Graphic 511">
            <a:extLst>
              <a:ext uri="{FF2B5EF4-FFF2-40B4-BE49-F238E27FC236}">
                <a16:creationId xmlns:a16="http://schemas.microsoft.com/office/drawing/2014/main" id="{FB891B02-32F7-4F16-8BBA-335D7B20BC3A}"/>
              </a:ext>
            </a:extLst>
          </xdr:cNvPr>
          <xdr:cNvSpPr>
            <a:spLocks/>
          </xdr:cNvSpPr>
        </xdr:nvSpPr>
        <xdr:spPr bwMode="auto">
          <a:xfrm>
            <a:off x="0" y="5417"/>
            <a:ext cx="41275" cy="5715"/>
          </a:xfrm>
          <a:custGeom>
            <a:avLst/>
            <a:gdLst>
              <a:gd name="T0" fmla="*/ 41257 w 41275"/>
              <a:gd name="T1" fmla="*/ 0 h 5715"/>
              <a:gd name="T2" fmla="*/ 0 w 41275"/>
              <a:gd name="T3" fmla="*/ 0 h 5715"/>
              <a:gd name="T4" fmla="*/ 0 w 41275"/>
              <a:gd name="T5" fmla="*/ 5417 h 5715"/>
              <a:gd name="T6" fmla="*/ 41257 w 41275"/>
              <a:gd name="T7" fmla="*/ 5417 h 5715"/>
              <a:gd name="T8" fmla="*/ 41257 w 412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1275" h="5715">
                <a:moveTo>
                  <a:pt x="41257" y="0"/>
                </a:moveTo>
                <a:lnTo>
                  <a:pt x="0" y="0"/>
                </a:lnTo>
                <a:lnTo>
                  <a:pt x="0" y="5417"/>
                </a:lnTo>
                <a:lnTo>
                  <a:pt x="41257" y="5417"/>
                </a:lnTo>
                <a:lnTo>
                  <a:pt x="41257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99" name="Graphic 512">
            <a:extLst>
              <a:ext uri="{FF2B5EF4-FFF2-40B4-BE49-F238E27FC236}">
                <a16:creationId xmlns:a16="http://schemas.microsoft.com/office/drawing/2014/main" id="{EF329C65-BEA5-4592-AE11-8AD4E2E42785}"/>
              </a:ext>
            </a:extLst>
          </xdr:cNvPr>
          <xdr:cNvSpPr>
            <a:spLocks/>
          </xdr:cNvSpPr>
        </xdr:nvSpPr>
        <xdr:spPr bwMode="auto">
          <a:xfrm>
            <a:off x="2578" y="13542"/>
            <a:ext cx="31115" cy="1270"/>
          </a:xfrm>
          <a:custGeom>
            <a:avLst/>
            <a:gdLst>
              <a:gd name="T0" fmla="*/ 0 w 31115"/>
              <a:gd name="T1" fmla="*/ 0 h 1270"/>
              <a:gd name="T2" fmla="*/ 30942 w 311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1115" h="1270">
                <a:moveTo>
                  <a:pt x="0" y="0"/>
                </a:moveTo>
                <a:lnTo>
                  <a:pt x="30942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00" name="Graphic 513">
            <a:extLst>
              <a:ext uri="{FF2B5EF4-FFF2-40B4-BE49-F238E27FC236}">
                <a16:creationId xmlns:a16="http://schemas.microsoft.com/office/drawing/2014/main" id="{51CFC0B6-F11C-481E-8B64-E10CDA487CBF}"/>
              </a:ext>
            </a:extLst>
          </xdr:cNvPr>
          <xdr:cNvSpPr>
            <a:spLocks/>
          </xdr:cNvSpPr>
        </xdr:nvSpPr>
        <xdr:spPr bwMode="auto">
          <a:xfrm>
            <a:off x="0" y="10834"/>
            <a:ext cx="36195" cy="5715"/>
          </a:xfrm>
          <a:custGeom>
            <a:avLst/>
            <a:gdLst>
              <a:gd name="T0" fmla="*/ 36099 w 36195"/>
              <a:gd name="T1" fmla="*/ 0 h 5715"/>
              <a:gd name="T2" fmla="*/ 0 w 36195"/>
              <a:gd name="T3" fmla="*/ 0 h 5715"/>
              <a:gd name="T4" fmla="*/ 0 w 36195"/>
              <a:gd name="T5" fmla="*/ 5417 h 5715"/>
              <a:gd name="T6" fmla="*/ 36099 w 36195"/>
              <a:gd name="T7" fmla="*/ 5417 h 5715"/>
              <a:gd name="T8" fmla="*/ 36099 w 3619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6195" h="5715">
                <a:moveTo>
                  <a:pt x="36099" y="0"/>
                </a:moveTo>
                <a:lnTo>
                  <a:pt x="0" y="0"/>
                </a:lnTo>
                <a:lnTo>
                  <a:pt x="0" y="5417"/>
                </a:lnTo>
                <a:lnTo>
                  <a:pt x="36099" y="5417"/>
                </a:lnTo>
                <a:lnTo>
                  <a:pt x="36099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01" name="Graphic 514">
            <a:extLst>
              <a:ext uri="{FF2B5EF4-FFF2-40B4-BE49-F238E27FC236}">
                <a16:creationId xmlns:a16="http://schemas.microsoft.com/office/drawing/2014/main" id="{008C0BD6-AC70-4323-AADB-E154A694CE3B}"/>
              </a:ext>
            </a:extLst>
          </xdr:cNvPr>
          <xdr:cNvSpPr>
            <a:spLocks/>
          </xdr:cNvSpPr>
        </xdr:nvSpPr>
        <xdr:spPr bwMode="auto">
          <a:xfrm>
            <a:off x="2578" y="18959"/>
            <a:ext cx="26034" cy="1270"/>
          </a:xfrm>
          <a:custGeom>
            <a:avLst/>
            <a:gdLst>
              <a:gd name="T0" fmla="*/ 0 w 26034"/>
              <a:gd name="T1" fmla="*/ 0 h 1270"/>
              <a:gd name="T2" fmla="*/ 25785 w 2603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6034" h="1270">
                <a:moveTo>
                  <a:pt x="0" y="0"/>
                </a:moveTo>
                <a:lnTo>
                  <a:pt x="25785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02" name="Graphic 515">
            <a:extLst>
              <a:ext uri="{FF2B5EF4-FFF2-40B4-BE49-F238E27FC236}">
                <a16:creationId xmlns:a16="http://schemas.microsoft.com/office/drawing/2014/main" id="{6E206C6C-8B76-43EF-9E7E-2EAE00840BE4}"/>
              </a:ext>
            </a:extLst>
          </xdr:cNvPr>
          <xdr:cNvSpPr>
            <a:spLocks/>
          </xdr:cNvSpPr>
        </xdr:nvSpPr>
        <xdr:spPr bwMode="auto">
          <a:xfrm>
            <a:off x="0" y="16305"/>
            <a:ext cx="31115" cy="5715"/>
          </a:xfrm>
          <a:custGeom>
            <a:avLst/>
            <a:gdLst>
              <a:gd name="T0" fmla="*/ 30942 w 31115"/>
              <a:gd name="T1" fmla="*/ 0 h 5715"/>
              <a:gd name="T2" fmla="*/ 0 w 31115"/>
              <a:gd name="T3" fmla="*/ 0 h 5715"/>
              <a:gd name="T4" fmla="*/ 0 w 31115"/>
              <a:gd name="T5" fmla="*/ 5687 h 5715"/>
              <a:gd name="T6" fmla="*/ 30942 w 31115"/>
              <a:gd name="T7" fmla="*/ 5687 h 5715"/>
              <a:gd name="T8" fmla="*/ 30942 w 3111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1115" h="5715">
                <a:moveTo>
                  <a:pt x="30942" y="0"/>
                </a:moveTo>
                <a:lnTo>
                  <a:pt x="0" y="0"/>
                </a:lnTo>
                <a:lnTo>
                  <a:pt x="0" y="5687"/>
                </a:lnTo>
                <a:lnTo>
                  <a:pt x="30942" y="5687"/>
                </a:lnTo>
                <a:lnTo>
                  <a:pt x="3094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03" name="Graphic 516">
            <a:extLst>
              <a:ext uri="{FF2B5EF4-FFF2-40B4-BE49-F238E27FC236}">
                <a16:creationId xmlns:a16="http://schemas.microsoft.com/office/drawing/2014/main" id="{694AC29E-2941-45E0-91F4-333AD0A620BD}"/>
              </a:ext>
            </a:extLst>
          </xdr:cNvPr>
          <xdr:cNvSpPr>
            <a:spLocks/>
          </xdr:cNvSpPr>
        </xdr:nvSpPr>
        <xdr:spPr bwMode="auto">
          <a:xfrm>
            <a:off x="2578" y="24702"/>
            <a:ext cx="20955" cy="1270"/>
          </a:xfrm>
          <a:custGeom>
            <a:avLst/>
            <a:gdLst>
              <a:gd name="T0" fmla="*/ 0 w 20955"/>
              <a:gd name="T1" fmla="*/ 0 h 1270"/>
              <a:gd name="T2" fmla="*/ 20628 w 2095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0955" h="1270">
                <a:moveTo>
                  <a:pt x="0" y="0"/>
                </a:moveTo>
                <a:lnTo>
                  <a:pt x="20628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04" name="Graphic 517">
            <a:extLst>
              <a:ext uri="{FF2B5EF4-FFF2-40B4-BE49-F238E27FC236}">
                <a16:creationId xmlns:a16="http://schemas.microsoft.com/office/drawing/2014/main" id="{56C3F565-66E7-4764-8C47-A11555A347CD}"/>
              </a:ext>
            </a:extLst>
          </xdr:cNvPr>
          <xdr:cNvSpPr>
            <a:spLocks/>
          </xdr:cNvSpPr>
        </xdr:nvSpPr>
        <xdr:spPr bwMode="auto">
          <a:xfrm>
            <a:off x="0" y="21993"/>
            <a:ext cx="26034" cy="5715"/>
          </a:xfrm>
          <a:custGeom>
            <a:avLst/>
            <a:gdLst>
              <a:gd name="T0" fmla="*/ 25785 w 26034"/>
              <a:gd name="T1" fmla="*/ 0 h 5715"/>
              <a:gd name="T2" fmla="*/ 0 w 26034"/>
              <a:gd name="T3" fmla="*/ 0 h 5715"/>
              <a:gd name="T4" fmla="*/ 0 w 26034"/>
              <a:gd name="T5" fmla="*/ 5417 h 5715"/>
              <a:gd name="T6" fmla="*/ 25785 w 26034"/>
              <a:gd name="T7" fmla="*/ 5417 h 5715"/>
              <a:gd name="T8" fmla="*/ 25785 w 26034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6034" h="5715">
                <a:moveTo>
                  <a:pt x="25785" y="0"/>
                </a:moveTo>
                <a:lnTo>
                  <a:pt x="0" y="0"/>
                </a:lnTo>
                <a:lnTo>
                  <a:pt x="0" y="5417"/>
                </a:lnTo>
                <a:lnTo>
                  <a:pt x="25785" y="5417"/>
                </a:lnTo>
                <a:lnTo>
                  <a:pt x="2578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05" name="Graphic 518">
            <a:extLst>
              <a:ext uri="{FF2B5EF4-FFF2-40B4-BE49-F238E27FC236}">
                <a16:creationId xmlns:a16="http://schemas.microsoft.com/office/drawing/2014/main" id="{453B6FBC-0ACD-4567-810A-0A3E10EB554F}"/>
              </a:ext>
            </a:extLst>
          </xdr:cNvPr>
          <xdr:cNvSpPr>
            <a:spLocks/>
          </xdr:cNvSpPr>
        </xdr:nvSpPr>
        <xdr:spPr bwMode="auto">
          <a:xfrm>
            <a:off x="2578" y="30119"/>
            <a:ext cx="15875" cy="1270"/>
          </a:xfrm>
          <a:custGeom>
            <a:avLst/>
            <a:gdLst>
              <a:gd name="T0" fmla="*/ 0 w 15875"/>
              <a:gd name="T1" fmla="*/ 0 h 1270"/>
              <a:gd name="T2" fmla="*/ 15471 w 158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5875" h="1270">
                <a:moveTo>
                  <a:pt x="0" y="0"/>
                </a:moveTo>
                <a:lnTo>
                  <a:pt x="15471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06" name="Graphic 519">
            <a:extLst>
              <a:ext uri="{FF2B5EF4-FFF2-40B4-BE49-F238E27FC236}">
                <a16:creationId xmlns:a16="http://schemas.microsoft.com/office/drawing/2014/main" id="{ED719363-0B81-4813-8D59-BB719F1C6F60}"/>
              </a:ext>
            </a:extLst>
          </xdr:cNvPr>
          <xdr:cNvSpPr>
            <a:spLocks/>
          </xdr:cNvSpPr>
        </xdr:nvSpPr>
        <xdr:spPr bwMode="auto">
          <a:xfrm>
            <a:off x="0" y="27410"/>
            <a:ext cx="20955" cy="5715"/>
          </a:xfrm>
          <a:custGeom>
            <a:avLst/>
            <a:gdLst>
              <a:gd name="T0" fmla="*/ 20628 w 20955"/>
              <a:gd name="T1" fmla="*/ 0 h 5715"/>
              <a:gd name="T2" fmla="*/ 0 w 20955"/>
              <a:gd name="T3" fmla="*/ 0 h 5715"/>
              <a:gd name="T4" fmla="*/ 0 w 20955"/>
              <a:gd name="T5" fmla="*/ 5417 h 5715"/>
              <a:gd name="T6" fmla="*/ 20628 w 20955"/>
              <a:gd name="T7" fmla="*/ 5417 h 5715"/>
              <a:gd name="T8" fmla="*/ 20628 w 2095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955" h="5715">
                <a:moveTo>
                  <a:pt x="20628" y="0"/>
                </a:moveTo>
                <a:lnTo>
                  <a:pt x="0" y="0"/>
                </a:lnTo>
                <a:lnTo>
                  <a:pt x="0" y="5417"/>
                </a:lnTo>
                <a:lnTo>
                  <a:pt x="20628" y="5417"/>
                </a:lnTo>
                <a:lnTo>
                  <a:pt x="2062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07" name="Graphic 520">
            <a:extLst>
              <a:ext uri="{FF2B5EF4-FFF2-40B4-BE49-F238E27FC236}">
                <a16:creationId xmlns:a16="http://schemas.microsoft.com/office/drawing/2014/main" id="{012D97CF-BCBC-46BB-A0F3-B802D7E52632}"/>
              </a:ext>
            </a:extLst>
          </xdr:cNvPr>
          <xdr:cNvSpPr>
            <a:spLocks/>
          </xdr:cNvSpPr>
        </xdr:nvSpPr>
        <xdr:spPr bwMode="auto">
          <a:xfrm>
            <a:off x="2578" y="35536"/>
            <a:ext cx="10795" cy="1270"/>
          </a:xfrm>
          <a:custGeom>
            <a:avLst/>
            <a:gdLst>
              <a:gd name="T0" fmla="*/ 0 w 10795"/>
              <a:gd name="T1" fmla="*/ 0 h 1270"/>
              <a:gd name="T2" fmla="*/ 10314 w 107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0795" h="1270">
                <a:moveTo>
                  <a:pt x="0" y="0"/>
                </a:moveTo>
                <a:lnTo>
                  <a:pt x="10314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08" name="Graphic 521">
            <a:extLst>
              <a:ext uri="{FF2B5EF4-FFF2-40B4-BE49-F238E27FC236}">
                <a16:creationId xmlns:a16="http://schemas.microsoft.com/office/drawing/2014/main" id="{6A4D2FDC-CC76-4644-91B0-A0EC521704E9}"/>
              </a:ext>
            </a:extLst>
          </xdr:cNvPr>
          <xdr:cNvSpPr>
            <a:spLocks/>
          </xdr:cNvSpPr>
        </xdr:nvSpPr>
        <xdr:spPr bwMode="auto">
          <a:xfrm>
            <a:off x="0" y="32827"/>
            <a:ext cx="15875" cy="5715"/>
          </a:xfrm>
          <a:custGeom>
            <a:avLst/>
            <a:gdLst>
              <a:gd name="T0" fmla="*/ 15471 w 15875"/>
              <a:gd name="T1" fmla="*/ 0 h 5715"/>
              <a:gd name="T2" fmla="*/ 0 w 15875"/>
              <a:gd name="T3" fmla="*/ 0 h 5715"/>
              <a:gd name="T4" fmla="*/ 0 w 15875"/>
              <a:gd name="T5" fmla="*/ 5417 h 5715"/>
              <a:gd name="T6" fmla="*/ 15471 w 15875"/>
              <a:gd name="T7" fmla="*/ 5417 h 5715"/>
              <a:gd name="T8" fmla="*/ 15471 w 158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875" h="5715">
                <a:moveTo>
                  <a:pt x="15471" y="0"/>
                </a:moveTo>
                <a:lnTo>
                  <a:pt x="0" y="0"/>
                </a:lnTo>
                <a:lnTo>
                  <a:pt x="0" y="5417"/>
                </a:lnTo>
                <a:lnTo>
                  <a:pt x="15471" y="5417"/>
                </a:lnTo>
                <a:lnTo>
                  <a:pt x="15471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609" name="Graphic 522">
            <a:extLst>
              <a:ext uri="{FF2B5EF4-FFF2-40B4-BE49-F238E27FC236}">
                <a16:creationId xmlns:a16="http://schemas.microsoft.com/office/drawing/2014/main" id="{AF273AFB-2E60-4D39-8C48-57E94835DA58}"/>
              </a:ext>
            </a:extLst>
          </xdr:cNvPr>
          <xdr:cNvSpPr>
            <a:spLocks/>
          </xdr:cNvSpPr>
        </xdr:nvSpPr>
        <xdr:spPr bwMode="auto">
          <a:xfrm>
            <a:off x="2578" y="40953"/>
            <a:ext cx="5715" cy="1270"/>
          </a:xfrm>
          <a:custGeom>
            <a:avLst/>
            <a:gdLst>
              <a:gd name="T0" fmla="*/ 0 w 5715"/>
              <a:gd name="T1" fmla="*/ 0 h 1270"/>
              <a:gd name="T2" fmla="*/ 5157 w 57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715" h="1270">
                <a:moveTo>
                  <a:pt x="0" y="0"/>
                </a:moveTo>
                <a:lnTo>
                  <a:pt x="51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10" name="Graphic 523">
            <a:extLst>
              <a:ext uri="{FF2B5EF4-FFF2-40B4-BE49-F238E27FC236}">
                <a16:creationId xmlns:a16="http://schemas.microsoft.com/office/drawing/2014/main" id="{585DEF49-BB3E-44B7-8327-5C272A385C8A}"/>
              </a:ext>
            </a:extLst>
          </xdr:cNvPr>
          <xdr:cNvSpPr>
            <a:spLocks/>
          </xdr:cNvSpPr>
        </xdr:nvSpPr>
        <xdr:spPr bwMode="auto">
          <a:xfrm>
            <a:off x="-8" y="38251"/>
            <a:ext cx="10795" cy="11430"/>
          </a:xfrm>
          <a:custGeom>
            <a:avLst/>
            <a:gdLst>
              <a:gd name="T0" fmla="*/ 10312 w 10795"/>
              <a:gd name="T1" fmla="*/ 0 h 11430"/>
              <a:gd name="T2" fmla="*/ 0 w 10795"/>
              <a:gd name="T3" fmla="*/ 0 h 11430"/>
              <a:gd name="T4" fmla="*/ 0 w 10795"/>
              <a:gd name="T5" fmla="*/ 5422 h 11430"/>
              <a:gd name="T6" fmla="*/ 0 w 10795"/>
              <a:gd name="T7" fmla="*/ 10833 h 11430"/>
              <a:gd name="T8" fmla="*/ 5156 w 10795"/>
              <a:gd name="T9" fmla="*/ 10833 h 11430"/>
              <a:gd name="T10" fmla="*/ 5156 w 10795"/>
              <a:gd name="T11" fmla="*/ 5422 h 11430"/>
              <a:gd name="T12" fmla="*/ 10312 w 10795"/>
              <a:gd name="T13" fmla="*/ 5422 h 11430"/>
              <a:gd name="T14" fmla="*/ 10312 w 10795"/>
              <a:gd name="T15" fmla="*/ 0 h 1143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0795" h="11430">
                <a:moveTo>
                  <a:pt x="10312" y="0"/>
                </a:moveTo>
                <a:lnTo>
                  <a:pt x="0" y="0"/>
                </a:lnTo>
                <a:lnTo>
                  <a:pt x="0" y="5422"/>
                </a:lnTo>
                <a:lnTo>
                  <a:pt x="0" y="10833"/>
                </a:lnTo>
                <a:lnTo>
                  <a:pt x="5156" y="10833"/>
                </a:lnTo>
                <a:lnTo>
                  <a:pt x="5156" y="5422"/>
                </a:lnTo>
                <a:lnTo>
                  <a:pt x="10312" y="5422"/>
                </a:lnTo>
                <a:lnTo>
                  <a:pt x="1031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0</xdr:colOff>
      <xdr:row>4</xdr:row>
      <xdr:rowOff>9525</xdr:rowOff>
    </xdr:from>
    <xdr:to>
      <xdr:col>7</xdr:col>
      <xdr:colOff>38100</xdr:colOff>
      <xdr:row>4</xdr:row>
      <xdr:rowOff>57150</xdr:rowOff>
    </xdr:to>
    <xdr:grpSp>
      <xdr:nvGrpSpPr>
        <xdr:cNvPr id="7578" name="Group 18">
          <a:extLst>
            <a:ext uri="{FF2B5EF4-FFF2-40B4-BE49-F238E27FC236}">
              <a16:creationId xmlns:a16="http://schemas.microsoft.com/office/drawing/2014/main" id="{FD75D83B-50B1-4DDD-9AF2-8C9B3ACA3CBB}"/>
            </a:ext>
          </a:extLst>
        </xdr:cNvPr>
        <xdr:cNvGrpSpPr>
          <a:grpSpLocks/>
        </xdr:cNvGrpSpPr>
      </xdr:nvGrpSpPr>
      <xdr:grpSpPr bwMode="auto">
        <a:xfrm>
          <a:off x="4912895" y="786564"/>
          <a:ext cx="38100" cy="47625"/>
          <a:chOff x="0" y="0"/>
          <a:chExt cx="46990" cy="49530"/>
        </a:xfrm>
      </xdr:grpSpPr>
      <xdr:sp macro="" textlink="">
        <xdr:nvSpPr>
          <xdr:cNvPr id="7579" name="Graphic 525">
            <a:extLst>
              <a:ext uri="{FF2B5EF4-FFF2-40B4-BE49-F238E27FC236}">
                <a16:creationId xmlns:a16="http://schemas.microsoft.com/office/drawing/2014/main" id="{525EAF22-7148-4D3C-86EE-FB883CB2DD46}"/>
              </a:ext>
            </a:extLst>
          </xdr:cNvPr>
          <xdr:cNvSpPr>
            <a:spLocks/>
          </xdr:cNvSpPr>
        </xdr:nvSpPr>
        <xdr:spPr bwMode="auto">
          <a:xfrm>
            <a:off x="2578" y="2708"/>
            <a:ext cx="41275" cy="1270"/>
          </a:xfrm>
          <a:custGeom>
            <a:avLst/>
            <a:gdLst>
              <a:gd name="T0" fmla="*/ 0 w 41275"/>
              <a:gd name="T1" fmla="*/ 0 h 1270"/>
              <a:gd name="T2" fmla="*/ 41257 w 412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1275" h="1270">
                <a:moveTo>
                  <a:pt x="0" y="0"/>
                </a:moveTo>
                <a:lnTo>
                  <a:pt x="412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80" name="Graphic 526">
            <a:extLst>
              <a:ext uri="{FF2B5EF4-FFF2-40B4-BE49-F238E27FC236}">
                <a16:creationId xmlns:a16="http://schemas.microsoft.com/office/drawing/2014/main" id="{EEC9FA63-4F03-4F90-90AD-1C7A865A94AE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6990" cy="5715"/>
          </a:xfrm>
          <a:custGeom>
            <a:avLst/>
            <a:gdLst>
              <a:gd name="T0" fmla="*/ 46414 w 46990"/>
              <a:gd name="T1" fmla="*/ 0 h 5715"/>
              <a:gd name="T2" fmla="*/ 0 w 46990"/>
              <a:gd name="T3" fmla="*/ 0 h 5715"/>
              <a:gd name="T4" fmla="*/ 0 w 46990"/>
              <a:gd name="T5" fmla="*/ 5417 h 5715"/>
              <a:gd name="T6" fmla="*/ 46414 w 46990"/>
              <a:gd name="T7" fmla="*/ 5417 h 5715"/>
              <a:gd name="T8" fmla="*/ 46414 w 46990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6990" h="5715">
                <a:moveTo>
                  <a:pt x="46414" y="0"/>
                </a:moveTo>
                <a:lnTo>
                  <a:pt x="0" y="0"/>
                </a:lnTo>
                <a:lnTo>
                  <a:pt x="0" y="5417"/>
                </a:lnTo>
                <a:lnTo>
                  <a:pt x="46414" y="5417"/>
                </a:lnTo>
                <a:lnTo>
                  <a:pt x="4641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81" name="Graphic 527">
            <a:extLst>
              <a:ext uri="{FF2B5EF4-FFF2-40B4-BE49-F238E27FC236}">
                <a16:creationId xmlns:a16="http://schemas.microsoft.com/office/drawing/2014/main" id="{606A2725-EF6A-4430-BB2B-8CCB7C68C844}"/>
              </a:ext>
            </a:extLst>
          </xdr:cNvPr>
          <xdr:cNvSpPr>
            <a:spLocks/>
          </xdr:cNvSpPr>
        </xdr:nvSpPr>
        <xdr:spPr bwMode="auto">
          <a:xfrm>
            <a:off x="2578" y="8125"/>
            <a:ext cx="36195" cy="1270"/>
          </a:xfrm>
          <a:custGeom>
            <a:avLst/>
            <a:gdLst>
              <a:gd name="T0" fmla="*/ 0 w 36195"/>
              <a:gd name="T1" fmla="*/ 0 h 1270"/>
              <a:gd name="T2" fmla="*/ 36099 w 361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6195" h="1270">
                <a:moveTo>
                  <a:pt x="0" y="0"/>
                </a:moveTo>
                <a:lnTo>
                  <a:pt x="36099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82" name="Graphic 528">
            <a:extLst>
              <a:ext uri="{FF2B5EF4-FFF2-40B4-BE49-F238E27FC236}">
                <a16:creationId xmlns:a16="http://schemas.microsoft.com/office/drawing/2014/main" id="{3C649B0C-61A2-4827-BDEE-AC5FD1FBC867}"/>
              </a:ext>
            </a:extLst>
          </xdr:cNvPr>
          <xdr:cNvSpPr>
            <a:spLocks/>
          </xdr:cNvSpPr>
        </xdr:nvSpPr>
        <xdr:spPr bwMode="auto">
          <a:xfrm>
            <a:off x="0" y="5417"/>
            <a:ext cx="41275" cy="5715"/>
          </a:xfrm>
          <a:custGeom>
            <a:avLst/>
            <a:gdLst>
              <a:gd name="T0" fmla="*/ 41257 w 41275"/>
              <a:gd name="T1" fmla="*/ 0 h 5715"/>
              <a:gd name="T2" fmla="*/ 0 w 41275"/>
              <a:gd name="T3" fmla="*/ 0 h 5715"/>
              <a:gd name="T4" fmla="*/ 0 w 41275"/>
              <a:gd name="T5" fmla="*/ 5417 h 5715"/>
              <a:gd name="T6" fmla="*/ 41257 w 41275"/>
              <a:gd name="T7" fmla="*/ 5417 h 5715"/>
              <a:gd name="T8" fmla="*/ 41257 w 412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1275" h="5715">
                <a:moveTo>
                  <a:pt x="41257" y="0"/>
                </a:moveTo>
                <a:lnTo>
                  <a:pt x="0" y="0"/>
                </a:lnTo>
                <a:lnTo>
                  <a:pt x="0" y="5417"/>
                </a:lnTo>
                <a:lnTo>
                  <a:pt x="41257" y="5417"/>
                </a:lnTo>
                <a:lnTo>
                  <a:pt x="41257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83" name="Graphic 529">
            <a:extLst>
              <a:ext uri="{FF2B5EF4-FFF2-40B4-BE49-F238E27FC236}">
                <a16:creationId xmlns:a16="http://schemas.microsoft.com/office/drawing/2014/main" id="{B0778A1F-C9D8-4B05-8369-A4435A49F824}"/>
              </a:ext>
            </a:extLst>
          </xdr:cNvPr>
          <xdr:cNvSpPr>
            <a:spLocks/>
          </xdr:cNvSpPr>
        </xdr:nvSpPr>
        <xdr:spPr bwMode="auto">
          <a:xfrm>
            <a:off x="2578" y="13542"/>
            <a:ext cx="31115" cy="1270"/>
          </a:xfrm>
          <a:custGeom>
            <a:avLst/>
            <a:gdLst>
              <a:gd name="T0" fmla="*/ 0 w 31115"/>
              <a:gd name="T1" fmla="*/ 0 h 1270"/>
              <a:gd name="T2" fmla="*/ 30942 w 311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1115" h="1270">
                <a:moveTo>
                  <a:pt x="0" y="0"/>
                </a:moveTo>
                <a:lnTo>
                  <a:pt x="30942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84" name="Graphic 530">
            <a:extLst>
              <a:ext uri="{FF2B5EF4-FFF2-40B4-BE49-F238E27FC236}">
                <a16:creationId xmlns:a16="http://schemas.microsoft.com/office/drawing/2014/main" id="{C9EB56C5-DCE7-4CE3-A195-0A9304196788}"/>
              </a:ext>
            </a:extLst>
          </xdr:cNvPr>
          <xdr:cNvSpPr>
            <a:spLocks/>
          </xdr:cNvSpPr>
        </xdr:nvSpPr>
        <xdr:spPr bwMode="auto">
          <a:xfrm>
            <a:off x="0" y="10834"/>
            <a:ext cx="36195" cy="5715"/>
          </a:xfrm>
          <a:custGeom>
            <a:avLst/>
            <a:gdLst>
              <a:gd name="T0" fmla="*/ 36099 w 36195"/>
              <a:gd name="T1" fmla="*/ 0 h 5715"/>
              <a:gd name="T2" fmla="*/ 0 w 36195"/>
              <a:gd name="T3" fmla="*/ 0 h 5715"/>
              <a:gd name="T4" fmla="*/ 0 w 36195"/>
              <a:gd name="T5" fmla="*/ 5417 h 5715"/>
              <a:gd name="T6" fmla="*/ 36099 w 36195"/>
              <a:gd name="T7" fmla="*/ 5417 h 5715"/>
              <a:gd name="T8" fmla="*/ 36099 w 3619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6195" h="5715">
                <a:moveTo>
                  <a:pt x="36099" y="0"/>
                </a:moveTo>
                <a:lnTo>
                  <a:pt x="0" y="0"/>
                </a:lnTo>
                <a:lnTo>
                  <a:pt x="0" y="5417"/>
                </a:lnTo>
                <a:lnTo>
                  <a:pt x="36099" y="5417"/>
                </a:lnTo>
                <a:lnTo>
                  <a:pt x="36099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85" name="Graphic 531">
            <a:extLst>
              <a:ext uri="{FF2B5EF4-FFF2-40B4-BE49-F238E27FC236}">
                <a16:creationId xmlns:a16="http://schemas.microsoft.com/office/drawing/2014/main" id="{84BC7985-9DCB-4C18-A516-5367205CC943}"/>
              </a:ext>
            </a:extLst>
          </xdr:cNvPr>
          <xdr:cNvSpPr>
            <a:spLocks/>
          </xdr:cNvSpPr>
        </xdr:nvSpPr>
        <xdr:spPr bwMode="auto">
          <a:xfrm>
            <a:off x="2578" y="18959"/>
            <a:ext cx="26034" cy="1270"/>
          </a:xfrm>
          <a:custGeom>
            <a:avLst/>
            <a:gdLst>
              <a:gd name="T0" fmla="*/ 0 w 26034"/>
              <a:gd name="T1" fmla="*/ 0 h 1270"/>
              <a:gd name="T2" fmla="*/ 25785 w 2603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6034" h="1270">
                <a:moveTo>
                  <a:pt x="0" y="0"/>
                </a:moveTo>
                <a:lnTo>
                  <a:pt x="25785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86" name="Graphic 532">
            <a:extLst>
              <a:ext uri="{FF2B5EF4-FFF2-40B4-BE49-F238E27FC236}">
                <a16:creationId xmlns:a16="http://schemas.microsoft.com/office/drawing/2014/main" id="{3F0AC7ED-12E4-4973-8D9A-D75EAB654B7F}"/>
              </a:ext>
            </a:extLst>
          </xdr:cNvPr>
          <xdr:cNvSpPr>
            <a:spLocks/>
          </xdr:cNvSpPr>
        </xdr:nvSpPr>
        <xdr:spPr bwMode="auto">
          <a:xfrm>
            <a:off x="0" y="16251"/>
            <a:ext cx="31115" cy="5715"/>
          </a:xfrm>
          <a:custGeom>
            <a:avLst/>
            <a:gdLst>
              <a:gd name="T0" fmla="*/ 30942 w 31115"/>
              <a:gd name="T1" fmla="*/ 0 h 5715"/>
              <a:gd name="T2" fmla="*/ 0 w 31115"/>
              <a:gd name="T3" fmla="*/ 0 h 5715"/>
              <a:gd name="T4" fmla="*/ 0 w 31115"/>
              <a:gd name="T5" fmla="*/ 5417 h 5715"/>
              <a:gd name="T6" fmla="*/ 30942 w 31115"/>
              <a:gd name="T7" fmla="*/ 5417 h 5715"/>
              <a:gd name="T8" fmla="*/ 30942 w 3111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1115" h="5715">
                <a:moveTo>
                  <a:pt x="30942" y="0"/>
                </a:moveTo>
                <a:lnTo>
                  <a:pt x="0" y="0"/>
                </a:lnTo>
                <a:lnTo>
                  <a:pt x="0" y="5417"/>
                </a:lnTo>
                <a:lnTo>
                  <a:pt x="30942" y="5417"/>
                </a:lnTo>
                <a:lnTo>
                  <a:pt x="3094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87" name="Graphic 533">
            <a:extLst>
              <a:ext uri="{FF2B5EF4-FFF2-40B4-BE49-F238E27FC236}">
                <a16:creationId xmlns:a16="http://schemas.microsoft.com/office/drawing/2014/main" id="{D4558924-54B5-4BCF-80AB-4F0AAEFC1F3E}"/>
              </a:ext>
            </a:extLst>
          </xdr:cNvPr>
          <xdr:cNvSpPr>
            <a:spLocks/>
          </xdr:cNvSpPr>
        </xdr:nvSpPr>
        <xdr:spPr bwMode="auto">
          <a:xfrm>
            <a:off x="2578" y="24377"/>
            <a:ext cx="20955" cy="1270"/>
          </a:xfrm>
          <a:custGeom>
            <a:avLst/>
            <a:gdLst>
              <a:gd name="T0" fmla="*/ 0 w 20955"/>
              <a:gd name="T1" fmla="*/ 0 h 1270"/>
              <a:gd name="T2" fmla="*/ 20628 w 2095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0955" h="1270">
                <a:moveTo>
                  <a:pt x="0" y="0"/>
                </a:moveTo>
                <a:lnTo>
                  <a:pt x="20628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88" name="Graphic 534">
            <a:extLst>
              <a:ext uri="{FF2B5EF4-FFF2-40B4-BE49-F238E27FC236}">
                <a16:creationId xmlns:a16="http://schemas.microsoft.com/office/drawing/2014/main" id="{44CCFC7B-9CDB-4D4B-B804-0683063A82D5}"/>
              </a:ext>
            </a:extLst>
          </xdr:cNvPr>
          <xdr:cNvSpPr>
            <a:spLocks/>
          </xdr:cNvSpPr>
        </xdr:nvSpPr>
        <xdr:spPr bwMode="auto">
          <a:xfrm>
            <a:off x="0" y="21668"/>
            <a:ext cx="26034" cy="5715"/>
          </a:xfrm>
          <a:custGeom>
            <a:avLst/>
            <a:gdLst>
              <a:gd name="T0" fmla="*/ 25785 w 26034"/>
              <a:gd name="T1" fmla="*/ 0 h 5715"/>
              <a:gd name="T2" fmla="*/ 0 w 26034"/>
              <a:gd name="T3" fmla="*/ 0 h 5715"/>
              <a:gd name="T4" fmla="*/ 0 w 26034"/>
              <a:gd name="T5" fmla="*/ 5417 h 5715"/>
              <a:gd name="T6" fmla="*/ 25785 w 26034"/>
              <a:gd name="T7" fmla="*/ 5417 h 5715"/>
              <a:gd name="T8" fmla="*/ 25785 w 26034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6034" h="5715">
                <a:moveTo>
                  <a:pt x="25785" y="0"/>
                </a:moveTo>
                <a:lnTo>
                  <a:pt x="0" y="0"/>
                </a:lnTo>
                <a:lnTo>
                  <a:pt x="0" y="5417"/>
                </a:lnTo>
                <a:lnTo>
                  <a:pt x="25785" y="5417"/>
                </a:lnTo>
                <a:lnTo>
                  <a:pt x="2578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89" name="Graphic 535">
            <a:extLst>
              <a:ext uri="{FF2B5EF4-FFF2-40B4-BE49-F238E27FC236}">
                <a16:creationId xmlns:a16="http://schemas.microsoft.com/office/drawing/2014/main" id="{C43AF176-128A-4C96-9279-9AAA4DF04533}"/>
              </a:ext>
            </a:extLst>
          </xdr:cNvPr>
          <xdr:cNvSpPr>
            <a:spLocks/>
          </xdr:cNvSpPr>
        </xdr:nvSpPr>
        <xdr:spPr bwMode="auto">
          <a:xfrm>
            <a:off x="2578" y="29794"/>
            <a:ext cx="15875" cy="1270"/>
          </a:xfrm>
          <a:custGeom>
            <a:avLst/>
            <a:gdLst>
              <a:gd name="T0" fmla="*/ 0 w 15875"/>
              <a:gd name="T1" fmla="*/ 0 h 1270"/>
              <a:gd name="T2" fmla="*/ 15471 w 158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5875" h="1270">
                <a:moveTo>
                  <a:pt x="0" y="0"/>
                </a:moveTo>
                <a:lnTo>
                  <a:pt x="15471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90" name="Graphic 536">
            <a:extLst>
              <a:ext uri="{FF2B5EF4-FFF2-40B4-BE49-F238E27FC236}">
                <a16:creationId xmlns:a16="http://schemas.microsoft.com/office/drawing/2014/main" id="{A7B31213-FCEA-46D8-BE90-BD8E05BC103D}"/>
              </a:ext>
            </a:extLst>
          </xdr:cNvPr>
          <xdr:cNvSpPr>
            <a:spLocks/>
          </xdr:cNvSpPr>
        </xdr:nvSpPr>
        <xdr:spPr bwMode="auto">
          <a:xfrm>
            <a:off x="0" y="27085"/>
            <a:ext cx="20955" cy="5715"/>
          </a:xfrm>
          <a:custGeom>
            <a:avLst/>
            <a:gdLst>
              <a:gd name="T0" fmla="*/ 20628 w 20955"/>
              <a:gd name="T1" fmla="*/ 0 h 5715"/>
              <a:gd name="T2" fmla="*/ 0 w 20955"/>
              <a:gd name="T3" fmla="*/ 0 h 5715"/>
              <a:gd name="T4" fmla="*/ 0 w 20955"/>
              <a:gd name="T5" fmla="*/ 5417 h 5715"/>
              <a:gd name="T6" fmla="*/ 20628 w 20955"/>
              <a:gd name="T7" fmla="*/ 5417 h 5715"/>
              <a:gd name="T8" fmla="*/ 20628 w 2095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955" h="5715">
                <a:moveTo>
                  <a:pt x="20628" y="0"/>
                </a:moveTo>
                <a:lnTo>
                  <a:pt x="0" y="0"/>
                </a:lnTo>
                <a:lnTo>
                  <a:pt x="0" y="5417"/>
                </a:lnTo>
                <a:lnTo>
                  <a:pt x="20628" y="5417"/>
                </a:lnTo>
                <a:lnTo>
                  <a:pt x="2062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91" name="Graphic 537">
            <a:extLst>
              <a:ext uri="{FF2B5EF4-FFF2-40B4-BE49-F238E27FC236}">
                <a16:creationId xmlns:a16="http://schemas.microsoft.com/office/drawing/2014/main" id="{B312B6C9-18D4-4C26-9ADC-495F0CCBDBC6}"/>
              </a:ext>
            </a:extLst>
          </xdr:cNvPr>
          <xdr:cNvSpPr>
            <a:spLocks/>
          </xdr:cNvSpPr>
        </xdr:nvSpPr>
        <xdr:spPr bwMode="auto">
          <a:xfrm>
            <a:off x="2578" y="35211"/>
            <a:ext cx="10795" cy="1270"/>
          </a:xfrm>
          <a:custGeom>
            <a:avLst/>
            <a:gdLst>
              <a:gd name="T0" fmla="*/ 0 w 10795"/>
              <a:gd name="T1" fmla="*/ 0 h 1270"/>
              <a:gd name="T2" fmla="*/ 10314 w 107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0795" h="1270">
                <a:moveTo>
                  <a:pt x="0" y="0"/>
                </a:moveTo>
                <a:lnTo>
                  <a:pt x="10314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92" name="Graphic 538">
            <a:extLst>
              <a:ext uri="{FF2B5EF4-FFF2-40B4-BE49-F238E27FC236}">
                <a16:creationId xmlns:a16="http://schemas.microsoft.com/office/drawing/2014/main" id="{2FE00FB0-5B6B-4873-9AC4-8974022C4D0A}"/>
              </a:ext>
            </a:extLst>
          </xdr:cNvPr>
          <xdr:cNvSpPr>
            <a:spLocks/>
          </xdr:cNvSpPr>
        </xdr:nvSpPr>
        <xdr:spPr bwMode="auto">
          <a:xfrm>
            <a:off x="0" y="32448"/>
            <a:ext cx="15875" cy="5715"/>
          </a:xfrm>
          <a:custGeom>
            <a:avLst/>
            <a:gdLst>
              <a:gd name="T0" fmla="*/ 15471 w 15875"/>
              <a:gd name="T1" fmla="*/ 0 h 5715"/>
              <a:gd name="T2" fmla="*/ 0 w 15875"/>
              <a:gd name="T3" fmla="*/ 0 h 5715"/>
              <a:gd name="T4" fmla="*/ 0 w 15875"/>
              <a:gd name="T5" fmla="*/ 5687 h 5715"/>
              <a:gd name="T6" fmla="*/ 15471 w 15875"/>
              <a:gd name="T7" fmla="*/ 5687 h 5715"/>
              <a:gd name="T8" fmla="*/ 15471 w 158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875" h="5715">
                <a:moveTo>
                  <a:pt x="15471" y="0"/>
                </a:moveTo>
                <a:lnTo>
                  <a:pt x="0" y="0"/>
                </a:lnTo>
                <a:lnTo>
                  <a:pt x="0" y="5687"/>
                </a:lnTo>
                <a:lnTo>
                  <a:pt x="15471" y="5687"/>
                </a:lnTo>
                <a:lnTo>
                  <a:pt x="15471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593" name="Graphic 539">
            <a:extLst>
              <a:ext uri="{FF2B5EF4-FFF2-40B4-BE49-F238E27FC236}">
                <a16:creationId xmlns:a16="http://schemas.microsoft.com/office/drawing/2014/main" id="{039EA28E-7DE9-4745-887B-B9BB71607173}"/>
              </a:ext>
            </a:extLst>
          </xdr:cNvPr>
          <xdr:cNvSpPr>
            <a:spLocks/>
          </xdr:cNvSpPr>
        </xdr:nvSpPr>
        <xdr:spPr bwMode="auto">
          <a:xfrm>
            <a:off x="2578" y="40845"/>
            <a:ext cx="5715" cy="1270"/>
          </a:xfrm>
          <a:custGeom>
            <a:avLst/>
            <a:gdLst>
              <a:gd name="T0" fmla="*/ 0 w 5715"/>
              <a:gd name="T1" fmla="*/ 0 h 1270"/>
              <a:gd name="T2" fmla="*/ 5157 w 57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715" h="1270">
                <a:moveTo>
                  <a:pt x="0" y="0"/>
                </a:moveTo>
                <a:lnTo>
                  <a:pt x="51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94" name="Graphic 540">
            <a:extLst>
              <a:ext uri="{FF2B5EF4-FFF2-40B4-BE49-F238E27FC236}">
                <a16:creationId xmlns:a16="http://schemas.microsoft.com/office/drawing/2014/main" id="{4FA3F696-F6DF-4B51-B4FA-88584D2363DD}"/>
              </a:ext>
            </a:extLst>
          </xdr:cNvPr>
          <xdr:cNvSpPr>
            <a:spLocks/>
          </xdr:cNvSpPr>
        </xdr:nvSpPr>
        <xdr:spPr bwMode="auto">
          <a:xfrm>
            <a:off x="-8" y="38138"/>
            <a:ext cx="10795" cy="11430"/>
          </a:xfrm>
          <a:custGeom>
            <a:avLst/>
            <a:gdLst>
              <a:gd name="T0" fmla="*/ 10312 w 10795"/>
              <a:gd name="T1" fmla="*/ 0 h 11430"/>
              <a:gd name="T2" fmla="*/ 0 w 10795"/>
              <a:gd name="T3" fmla="*/ 0 h 11430"/>
              <a:gd name="T4" fmla="*/ 0 w 10795"/>
              <a:gd name="T5" fmla="*/ 5422 h 11430"/>
              <a:gd name="T6" fmla="*/ 0 w 10795"/>
              <a:gd name="T7" fmla="*/ 10833 h 11430"/>
              <a:gd name="T8" fmla="*/ 5156 w 10795"/>
              <a:gd name="T9" fmla="*/ 10833 h 11430"/>
              <a:gd name="T10" fmla="*/ 5156 w 10795"/>
              <a:gd name="T11" fmla="*/ 5422 h 11430"/>
              <a:gd name="T12" fmla="*/ 10312 w 10795"/>
              <a:gd name="T13" fmla="*/ 5422 h 11430"/>
              <a:gd name="T14" fmla="*/ 10312 w 10795"/>
              <a:gd name="T15" fmla="*/ 0 h 1143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0795" h="11430">
                <a:moveTo>
                  <a:pt x="10312" y="0"/>
                </a:moveTo>
                <a:lnTo>
                  <a:pt x="0" y="0"/>
                </a:lnTo>
                <a:lnTo>
                  <a:pt x="0" y="5422"/>
                </a:lnTo>
                <a:lnTo>
                  <a:pt x="0" y="10833"/>
                </a:lnTo>
                <a:lnTo>
                  <a:pt x="5156" y="10833"/>
                </a:lnTo>
                <a:lnTo>
                  <a:pt x="5156" y="5422"/>
                </a:lnTo>
                <a:lnTo>
                  <a:pt x="10312" y="5422"/>
                </a:lnTo>
                <a:lnTo>
                  <a:pt x="1031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15323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89398-1F7E-4ABA-9B23-B3900855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7548" cy="1253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0</xdr:rowOff>
    </xdr:from>
    <xdr:to>
      <xdr:col>0</xdr:col>
      <xdr:colOff>228600</xdr:colOff>
      <xdr:row>3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C2D591B-7620-4066-AE6A-C2CDBD2B9708}"/>
            </a:ext>
          </a:extLst>
        </xdr:cNvPr>
        <xdr:cNvGrpSpPr>
          <a:grpSpLocks/>
        </xdr:cNvGrpSpPr>
      </xdr:nvGrpSpPr>
      <xdr:grpSpPr bwMode="auto">
        <a:xfrm>
          <a:off x="190500" y="425585"/>
          <a:ext cx="38100" cy="28575"/>
          <a:chOff x="0" y="0"/>
          <a:chExt cx="42545" cy="42545"/>
        </a:xfrm>
      </xdr:grpSpPr>
      <xdr:sp macro="" textlink="">
        <xdr:nvSpPr>
          <xdr:cNvPr id="3" name="Graphic 609">
            <a:extLst>
              <a:ext uri="{FF2B5EF4-FFF2-40B4-BE49-F238E27FC236}">
                <a16:creationId xmlns:a16="http://schemas.microsoft.com/office/drawing/2014/main" id="{AF5502EA-5E2B-AB36-A2C2-5FBF9CA65698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Graphic 610">
            <a:extLst>
              <a:ext uri="{FF2B5EF4-FFF2-40B4-BE49-F238E27FC236}">
                <a16:creationId xmlns:a16="http://schemas.microsoft.com/office/drawing/2014/main" id="{A7E5B39B-FCD4-C9AE-6317-254882FDA86B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Graphic 611">
            <a:extLst>
              <a:ext uri="{FF2B5EF4-FFF2-40B4-BE49-F238E27FC236}">
                <a16:creationId xmlns:a16="http://schemas.microsoft.com/office/drawing/2014/main" id="{009B13A5-247C-662F-21A7-3A2F3E95B159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Graphic 612">
            <a:extLst>
              <a:ext uri="{FF2B5EF4-FFF2-40B4-BE49-F238E27FC236}">
                <a16:creationId xmlns:a16="http://schemas.microsoft.com/office/drawing/2014/main" id="{9356249C-2552-69DF-3241-12436C6382BE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Graphic 613">
            <a:extLst>
              <a:ext uri="{FF2B5EF4-FFF2-40B4-BE49-F238E27FC236}">
                <a16:creationId xmlns:a16="http://schemas.microsoft.com/office/drawing/2014/main" id="{1DFEE730-8856-BA23-C8B1-437AFBA81DDA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Graphic 614">
            <a:extLst>
              <a:ext uri="{FF2B5EF4-FFF2-40B4-BE49-F238E27FC236}">
                <a16:creationId xmlns:a16="http://schemas.microsoft.com/office/drawing/2014/main" id="{17C0A76B-80D1-8592-638A-6D09EAD5A059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Graphic 615">
            <a:extLst>
              <a:ext uri="{FF2B5EF4-FFF2-40B4-BE49-F238E27FC236}">
                <a16:creationId xmlns:a16="http://schemas.microsoft.com/office/drawing/2014/main" id="{6D2A8FA0-0850-1328-ED24-39B3DBF25B61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Graphic 616">
            <a:extLst>
              <a:ext uri="{FF2B5EF4-FFF2-40B4-BE49-F238E27FC236}">
                <a16:creationId xmlns:a16="http://schemas.microsoft.com/office/drawing/2014/main" id="{3BB89CCD-2EBB-90CF-CB97-FC488B142233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Graphic 617">
            <a:extLst>
              <a:ext uri="{FF2B5EF4-FFF2-40B4-BE49-F238E27FC236}">
                <a16:creationId xmlns:a16="http://schemas.microsoft.com/office/drawing/2014/main" id="{486C78FD-B4D0-5BBE-E591-99A480E515AA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Graphic 618">
            <a:extLst>
              <a:ext uri="{FF2B5EF4-FFF2-40B4-BE49-F238E27FC236}">
                <a16:creationId xmlns:a16="http://schemas.microsoft.com/office/drawing/2014/main" id="{C3FB44F8-CA6C-9BBF-EA54-51853FB0B304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Graphic 619">
            <a:extLst>
              <a:ext uri="{FF2B5EF4-FFF2-40B4-BE49-F238E27FC236}">
                <a16:creationId xmlns:a16="http://schemas.microsoft.com/office/drawing/2014/main" id="{37A9EC34-0259-670D-A00E-E3BC27AE30BB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" name="Graphic 620">
            <a:extLst>
              <a:ext uri="{FF2B5EF4-FFF2-40B4-BE49-F238E27FC236}">
                <a16:creationId xmlns:a16="http://schemas.microsoft.com/office/drawing/2014/main" id="{F65C44AB-1BD3-1E6C-61B7-8C682681AFA7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Graphic 621">
            <a:extLst>
              <a:ext uri="{FF2B5EF4-FFF2-40B4-BE49-F238E27FC236}">
                <a16:creationId xmlns:a16="http://schemas.microsoft.com/office/drawing/2014/main" id="{FAB2A187-026A-A09B-2690-8C4658075901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Graphic 622">
            <a:extLst>
              <a:ext uri="{FF2B5EF4-FFF2-40B4-BE49-F238E27FC236}">
                <a16:creationId xmlns:a16="http://schemas.microsoft.com/office/drawing/2014/main" id="{0325C454-0AFA-AF4D-DB7D-71D08DF7149B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7" name="Graphic 623">
            <a:extLst>
              <a:ext uri="{FF2B5EF4-FFF2-40B4-BE49-F238E27FC236}">
                <a16:creationId xmlns:a16="http://schemas.microsoft.com/office/drawing/2014/main" id="{EE4F1009-DB3E-99D4-638F-E36FD5A64213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" name="Graphic 624">
            <a:extLst>
              <a:ext uri="{FF2B5EF4-FFF2-40B4-BE49-F238E27FC236}">
                <a16:creationId xmlns:a16="http://schemas.microsoft.com/office/drawing/2014/main" id="{96EB2904-DCD1-FD6D-0667-511921CF60A8}"/>
              </a:ext>
            </a:extLst>
          </xdr:cNvPr>
          <xdr:cNvSpPr>
            <a:spLocks/>
          </xdr:cNvSpPr>
        </xdr:nvSpPr>
        <xdr:spPr bwMode="auto">
          <a:xfrm>
            <a:off x="-8" y="32908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711 h 9525"/>
              <a:gd name="T6" fmla="*/ 0 w 9525"/>
              <a:gd name="T7" fmla="*/ 9410 h 9525"/>
              <a:gd name="T8" fmla="*/ 4699 w 9525"/>
              <a:gd name="T9" fmla="*/ 9410 h 9525"/>
              <a:gd name="T10" fmla="*/ 4699 w 9525"/>
              <a:gd name="T11" fmla="*/ 4711 h 9525"/>
              <a:gd name="T12" fmla="*/ 9398 w 9525"/>
              <a:gd name="T13" fmla="*/ 4711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711"/>
                </a:lnTo>
                <a:lnTo>
                  <a:pt x="0" y="9410"/>
                </a:lnTo>
                <a:lnTo>
                  <a:pt x="4699" y="9410"/>
                </a:lnTo>
                <a:lnTo>
                  <a:pt x="4699" y="4711"/>
                </a:lnTo>
                <a:lnTo>
                  <a:pt x="9398" y="4711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190500</xdr:colOff>
      <xdr:row>3</xdr:row>
      <xdr:rowOff>123825</xdr:rowOff>
    </xdr:from>
    <xdr:to>
      <xdr:col>0</xdr:col>
      <xdr:colOff>228600</xdr:colOff>
      <xdr:row>4</xdr:row>
      <xdr:rowOff>9525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4EBE374-B0A9-476D-A623-7FA746451525}"/>
            </a:ext>
          </a:extLst>
        </xdr:cNvPr>
        <xdr:cNvGrpSpPr>
          <a:grpSpLocks/>
        </xdr:cNvGrpSpPr>
      </xdr:nvGrpSpPr>
      <xdr:grpSpPr bwMode="auto">
        <a:xfrm>
          <a:off x="190500" y="549410"/>
          <a:ext cx="38100" cy="27562"/>
          <a:chOff x="0" y="0"/>
          <a:chExt cx="42545" cy="42545"/>
        </a:xfrm>
      </xdr:grpSpPr>
      <xdr:sp macro="" textlink="">
        <xdr:nvSpPr>
          <xdr:cNvPr id="20" name="Graphic 626">
            <a:extLst>
              <a:ext uri="{FF2B5EF4-FFF2-40B4-BE49-F238E27FC236}">
                <a16:creationId xmlns:a16="http://schemas.microsoft.com/office/drawing/2014/main" id="{573C3F41-1E47-4E68-90DD-A88E78327DE1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" name="Graphic 627">
            <a:extLst>
              <a:ext uri="{FF2B5EF4-FFF2-40B4-BE49-F238E27FC236}">
                <a16:creationId xmlns:a16="http://schemas.microsoft.com/office/drawing/2014/main" id="{AE765C25-B965-A5D1-5385-A43FF94DFFBE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2" name="Graphic 628">
            <a:extLst>
              <a:ext uri="{FF2B5EF4-FFF2-40B4-BE49-F238E27FC236}">
                <a16:creationId xmlns:a16="http://schemas.microsoft.com/office/drawing/2014/main" id="{12FB5972-D6F3-21CE-68AE-3E86ECB3C09A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Graphic 629">
            <a:extLst>
              <a:ext uri="{FF2B5EF4-FFF2-40B4-BE49-F238E27FC236}">
                <a16:creationId xmlns:a16="http://schemas.microsoft.com/office/drawing/2014/main" id="{B3213447-1C0F-E4B6-8AB1-1B12F985F852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4" name="Graphic 630">
            <a:extLst>
              <a:ext uri="{FF2B5EF4-FFF2-40B4-BE49-F238E27FC236}">
                <a16:creationId xmlns:a16="http://schemas.microsoft.com/office/drawing/2014/main" id="{AFD4A659-0A16-0956-B286-A498EF105E07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Graphic 631">
            <a:extLst>
              <a:ext uri="{FF2B5EF4-FFF2-40B4-BE49-F238E27FC236}">
                <a16:creationId xmlns:a16="http://schemas.microsoft.com/office/drawing/2014/main" id="{A26385BE-E296-E886-83B6-E041F04EEBB7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Graphic 632">
            <a:extLst>
              <a:ext uri="{FF2B5EF4-FFF2-40B4-BE49-F238E27FC236}">
                <a16:creationId xmlns:a16="http://schemas.microsoft.com/office/drawing/2014/main" id="{966D7FF6-84CF-95CE-EE1A-A2FD690DEB8D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" name="Graphic 633">
            <a:extLst>
              <a:ext uri="{FF2B5EF4-FFF2-40B4-BE49-F238E27FC236}">
                <a16:creationId xmlns:a16="http://schemas.microsoft.com/office/drawing/2014/main" id="{2B164528-05E3-EB6C-CCCB-44657EB5B6B0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" name="Graphic 634">
            <a:extLst>
              <a:ext uri="{FF2B5EF4-FFF2-40B4-BE49-F238E27FC236}">
                <a16:creationId xmlns:a16="http://schemas.microsoft.com/office/drawing/2014/main" id="{521A65A9-DAD6-9069-06FB-EB9BF4DA0408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Graphic 635">
            <a:extLst>
              <a:ext uri="{FF2B5EF4-FFF2-40B4-BE49-F238E27FC236}">
                <a16:creationId xmlns:a16="http://schemas.microsoft.com/office/drawing/2014/main" id="{F97AB168-463E-4899-1C30-9B42630E2EAC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Graphic 636">
            <a:extLst>
              <a:ext uri="{FF2B5EF4-FFF2-40B4-BE49-F238E27FC236}">
                <a16:creationId xmlns:a16="http://schemas.microsoft.com/office/drawing/2014/main" id="{BEBCEBF5-B612-37C7-EC8C-89EB1E802AA9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Graphic 637">
            <a:extLst>
              <a:ext uri="{FF2B5EF4-FFF2-40B4-BE49-F238E27FC236}">
                <a16:creationId xmlns:a16="http://schemas.microsoft.com/office/drawing/2014/main" id="{1EE623DF-A325-5830-9DDF-847430235928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" name="Graphic 638">
            <a:extLst>
              <a:ext uri="{FF2B5EF4-FFF2-40B4-BE49-F238E27FC236}">
                <a16:creationId xmlns:a16="http://schemas.microsoft.com/office/drawing/2014/main" id="{8D307E01-D6B0-C357-8630-C68B2FD8F7F4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Graphic 639">
            <a:extLst>
              <a:ext uri="{FF2B5EF4-FFF2-40B4-BE49-F238E27FC236}">
                <a16:creationId xmlns:a16="http://schemas.microsoft.com/office/drawing/2014/main" id="{FBFACB6C-885D-85B5-2B45-842F369B439F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" name="Graphic 640">
            <a:extLst>
              <a:ext uri="{FF2B5EF4-FFF2-40B4-BE49-F238E27FC236}">
                <a16:creationId xmlns:a16="http://schemas.microsoft.com/office/drawing/2014/main" id="{5C928E98-9AD3-0E84-4073-E978A2864749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" name="Graphic 641">
            <a:extLst>
              <a:ext uri="{FF2B5EF4-FFF2-40B4-BE49-F238E27FC236}">
                <a16:creationId xmlns:a16="http://schemas.microsoft.com/office/drawing/2014/main" id="{64AB9BB2-7AD1-5627-103D-1BC07FFB599C}"/>
              </a:ext>
            </a:extLst>
          </xdr:cNvPr>
          <xdr:cNvSpPr>
            <a:spLocks/>
          </xdr:cNvSpPr>
        </xdr:nvSpPr>
        <xdr:spPr bwMode="auto">
          <a:xfrm>
            <a:off x="-8" y="32912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699 h 9525"/>
              <a:gd name="T6" fmla="*/ 0 w 9525"/>
              <a:gd name="T7" fmla="*/ 9398 h 9525"/>
              <a:gd name="T8" fmla="*/ 4699 w 9525"/>
              <a:gd name="T9" fmla="*/ 9398 h 9525"/>
              <a:gd name="T10" fmla="*/ 4699 w 9525"/>
              <a:gd name="T11" fmla="*/ 4699 h 9525"/>
              <a:gd name="T12" fmla="*/ 9398 w 9525"/>
              <a:gd name="T13" fmla="*/ 4699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699"/>
                </a:lnTo>
                <a:lnTo>
                  <a:pt x="0" y="9398"/>
                </a:lnTo>
                <a:lnTo>
                  <a:pt x="4699" y="9398"/>
                </a:lnTo>
                <a:lnTo>
                  <a:pt x="4699" y="4699"/>
                </a:lnTo>
                <a:lnTo>
                  <a:pt x="9398" y="4699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190500</xdr:colOff>
      <xdr:row>4</xdr:row>
      <xdr:rowOff>133350</xdr:rowOff>
    </xdr:from>
    <xdr:to>
      <xdr:col>0</xdr:col>
      <xdr:colOff>228600</xdr:colOff>
      <xdr:row>5</xdr:row>
      <xdr:rowOff>9525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3975738-53CD-4AC5-8542-E685E903B6B2}"/>
            </a:ext>
          </a:extLst>
        </xdr:cNvPr>
        <xdr:cNvGrpSpPr>
          <a:grpSpLocks/>
        </xdr:cNvGrpSpPr>
      </xdr:nvGrpSpPr>
      <xdr:grpSpPr bwMode="auto">
        <a:xfrm>
          <a:off x="190500" y="700797"/>
          <a:ext cx="38100" cy="18037"/>
          <a:chOff x="0" y="0"/>
          <a:chExt cx="42545" cy="42545"/>
        </a:xfrm>
      </xdr:grpSpPr>
      <xdr:sp macro="" textlink="">
        <xdr:nvSpPr>
          <xdr:cNvPr id="37" name="Graphic 643">
            <a:extLst>
              <a:ext uri="{FF2B5EF4-FFF2-40B4-BE49-F238E27FC236}">
                <a16:creationId xmlns:a16="http://schemas.microsoft.com/office/drawing/2014/main" id="{7828B0EA-FA5C-863A-6551-B4CCDA03249F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" name="Graphic 644">
            <a:extLst>
              <a:ext uri="{FF2B5EF4-FFF2-40B4-BE49-F238E27FC236}">
                <a16:creationId xmlns:a16="http://schemas.microsoft.com/office/drawing/2014/main" id="{CD33EF82-851A-3218-F92F-268C860F5927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9" name="Graphic 645">
            <a:extLst>
              <a:ext uri="{FF2B5EF4-FFF2-40B4-BE49-F238E27FC236}">
                <a16:creationId xmlns:a16="http://schemas.microsoft.com/office/drawing/2014/main" id="{4108B8CB-70C1-8DAC-79CB-B37F670637C3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Graphic 646">
            <a:extLst>
              <a:ext uri="{FF2B5EF4-FFF2-40B4-BE49-F238E27FC236}">
                <a16:creationId xmlns:a16="http://schemas.microsoft.com/office/drawing/2014/main" id="{756B1C51-992C-024F-0E49-5E67D3CC76EB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Graphic 647">
            <a:extLst>
              <a:ext uri="{FF2B5EF4-FFF2-40B4-BE49-F238E27FC236}">
                <a16:creationId xmlns:a16="http://schemas.microsoft.com/office/drawing/2014/main" id="{6B9AD06D-C428-EA07-91D9-12DB42225C5F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Graphic 648">
            <a:extLst>
              <a:ext uri="{FF2B5EF4-FFF2-40B4-BE49-F238E27FC236}">
                <a16:creationId xmlns:a16="http://schemas.microsoft.com/office/drawing/2014/main" id="{346D1068-05C4-03CF-3B37-8EEFB4D461EA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" name="Graphic 649">
            <a:extLst>
              <a:ext uri="{FF2B5EF4-FFF2-40B4-BE49-F238E27FC236}">
                <a16:creationId xmlns:a16="http://schemas.microsoft.com/office/drawing/2014/main" id="{557C6C17-1100-7D36-CD51-4BDA0B0A6806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Graphic 650">
            <a:extLst>
              <a:ext uri="{FF2B5EF4-FFF2-40B4-BE49-F238E27FC236}">
                <a16:creationId xmlns:a16="http://schemas.microsoft.com/office/drawing/2014/main" id="{0B7FB9A9-08D4-8D47-5601-F39329AA7D35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" name="Graphic 651">
            <a:extLst>
              <a:ext uri="{FF2B5EF4-FFF2-40B4-BE49-F238E27FC236}">
                <a16:creationId xmlns:a16="http://schemas.microsoft.com/office/drawing/2014/main" id="{7D945D69-A006-6DB1-20F4-DFAD504319CB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Graphic 652">
            <a:extLst>
              <a:ext uri="{FF2B5EF4-FFF2-40B4-BE49-F238E27FC236}">
                <a16:creationId xmlns:a16="http://schemas.microsoft.com/office/drawing/2014/main" id="{22075203-447D-E9F0-5C1E-92AB2EC5F99E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Graphic 653">
            <a:extLst>
              <a:ext uri="{FF2B5EF4-FFF2-40B4-BE49-F238E27FC236}">
                <a16:creationId xmlns:a16="http://schemas.microsoft.com/office/drawing/2014/main" id="{75F22D24-B829-9BBD-99CE-CAD2BFF1FB08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Graphic 654">
            <a:extLst>
              <a:ext uri="{FF2B5EF4-FFF2-40B4-BE49-F238E27FC236}">
                <a16:creationId xmlns:a16="http://schemas.microsoft.com/office/drawing/2014/main" id="{70DA5807-4F6B-3210-1898-C157E5DD9F59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9" name="Graphic 655">
            <a:extLst>
              <a:ext uri="{FF2B5EF4-FFF2-40B4-BE49-F238E27FC236}">
                <a16:creationId xmlns:a16="http://schemas.microsoft.com/office/drawing/2014/main" id="{921B6E26-005A-25FD-1238-C8D044DD7AD3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Graphic 656">
            <a:extLst>
              <a:ext uri="{FF2B5EF4-FFF2-40B4-BE49-F238E27FC236}">
                <a16:creationId xmlns:a16="http://schemas.microsoft.com/office/drawing/2014/main" id="{3C9520D3-C573-F245-C85B-3F7D3F69AB40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" name="Graphic 657">
            <a:extLst>
              <a:ext uri="{FF2B5EF4-FFF2-40B4-BE49-F238E27FC236}">
                <a16:creationId xmlns:a16="http://schemas.microsoft.com/office/drawing/2014/main" id="{9B372B37-DD51-6043-0376-DA3A6839BBF0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Graphic 658">
            <a:extLst>
              <a:ext uri="{FF2B5EF4-FFF2-40B4-BE49-F238E27FC236}">
                <a16:creationId xmlns:a16="http://schemas.microsoft.com/office/drawing/2014/main" id="{C0BEE6E2-319C-EA50-78D1-CF5AC1CC73DF}"/>
              </a:ext>
            </a:extLst>
          </xdr:cNvPr>
          <xdr:cNvSpPr>
            <a:spLocks/>
          </xdr:cNvSpPr>
        </xdr:nvSpPr>
        <xdr:spPr bwMode="auto">
          <a:xfrm>
            <a:off x="-8" y="32914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699 h 9525"/>
              <a:gd name="T6" fmla="*/ 0 w 9525"/>
              <a:gd name="T7" fmla="*/ 9398 h 9525"/>
              <a:gd name="T8" fmla="*/ 4699 w 9525"/>
              <a:gd name="T9" fmla="*/ 9398 h 9525"/>
              <a:gd name="T10" fmla="*/ 4699 w 9525"/>
              <a:gd name="T11" fmla="*/ 4699 h 9525"/>
              <a:gd name="T12" fmla="*/ 9398 w 9525"/>
              <a:gd name="T13" fmla="*/ 4699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699"/>
                </a:lnTo>
                <a:lnTo>
                  <a:pt x="0" y="9398"/>
                </a:lnTo>
                <a:lnTo>
                  <a:pt x="4699" y="9398"/>
                </a:lnTo>
                <a:lnTo>
                  <a:pt x="4699" y="4699"/>
                </a:lnTo>
                <a:lnTo>
                  <a:pt x="9398" y="4699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720173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E8F01-6160-43E9-ADDD-19CB8ECE8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7548" cy="1253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1104900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BE5AD-187F-44D7-BC82-A09D46C4A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77050" cy="1253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38100</xdr:colOff>
      <xdr:row>3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76E16E2-B019-43F7-B2DC-371B264B0C90}"/>
            </a:ext>
          </a:extLst>
        </xdr:cNvPr>
        <xdr:cNvGrpSpPr>
          <a:grpSpLocks/>
        </xdr:cNvGrpSpPr>
      </xdr:nvGrpSpPr>
      <xdr:grpSpPr bwMode="auto">
        <a:xfrm>
          <a:off x="4909038" y="586154"/>
          <a:ext cx="38100" cy="57150"/>
          <a:chOff x="0" y="0"/>
          <a:chExt cx="46990" cy="49530"/>
        </a:xfrm>
      </xdr:grpSpPr>
      <xdr:sp macro="" textlink="">
        <xdr:nvSpPr>
          <xdr:cNvPr id="3" name="Graphic 508">
            <a:extLst>
              <a:ext uri="{FF2B5EF4-FFF2-40B4-BE49-F238E27FC236}">
                <a16:creationId xmlns:a16="http://schemas.microsoft.com/office/drawing/2014/main" id="{009CBDF3-D829-9334-01CB-24BEE2A525D8}"/>
              </a:ext>
            </a:extLst>
          </xdr:cNvPr>
          <xdr:cNvSpPr>
            <a:spLocks/>
          </xdr:cNvSpPr>
        </xdr:nvSpPr>
        <xdr:spPr bwMode="auto">
          <a:xfrm>
            <a:off x="2578" y="2708"/>
            <a:ext cx="41275" cy="1270"/>
          </a:xfrm>
          <a:custGeom>
            <a:avLst/>
            <a:gdLst>
              <a:gd name="T0" fmla="*/ 0 w 41275"/>
              <a:gd name="T1" fmla="*/ 0 h 1270"/>
              <a:gd name="T2" fmla="*/ 41257 w 412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1275" h="1270">
                <a:moveTo>
                  <a:pt x="0" y="0"/>
                </a:moveTo>
                <a:lnTo>
                  <a:pt x="412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Graphic 509">
            <a:extLst>
              <a:ext uri="{FF2B5EF4-FFF2-40B4-BE49-F238E27FC236}">
                <a16:creationId xmlns:a16="http://schemas.microsoft.com/office/drawing/2014/main" id="{CE9B5C5E-77B7-EC0B-745A-B13029BB63F4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6990" cy="5715"/>
          </a:xfrm>
          <a:custGeom>
            <a:avLst/>
            <a:gdLst>
              <a:gd name="T0" fmla="*/ 46414 w 46990"/>
              <a:gd name="T1" fmla="*/ 0 h 5715"/>
              <a:gd name="T2" fmla="*/ 0 w 46990"/>
              <a:gd name="T3" fmla="*/ 0 h 5715"/>
              <a:gd name="T4" fmla="*/ 0 w 46990"/>
              <a:gd name="T5" fmla="*/ 5417 h 5715"/>
              <a:gd name="T6" fmla="*/ 46414 w 46990"/>
              <a:gd name="T7" fmla="*/ 5417 h 5715"/>
              <a:gd name="T8" fmla="*/ 46414 w 46990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6990" h="5715">
                <a:moveTo>
                  <a:pt x="46414" y="0"/>
                </a:moveTo>
                <a:lnTo>
                  <a:pt x="0" y="0"/>
                </a:lnTo>
                <a:lnTo>
                  <a:pt x="0" y="5417"/>
                </a:lnTo>
                <a:lnTo>
                  <a:pt x="46414" y="5417"/>
                </a:lnTo>
                <a:lnTo>
                  <a:pt x="4641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Graphic 510">
            <a:extLst>
              <a:ext uri="{FF2B5EF4-FFF2-40B4-BE49-F238E27FC236}">
                <a16:creationId xmlns:a16="http://schemas.microsoft.com/office/drawing/2014/main" id="{BFB4AED7-858A-F4C2-B4DF-4348C8812BA4}"/>
              </a:ext>
            </a:extLst>
          </xdr:cNvPr>
          <xdr:cNvSpPr>
            <a:spLocks/>
          </xdr:cNvSpPr>
        </xdr:nvSpPr>
        <xdr:spPr bwMode="auto">
          <a:xfrm>
            <a:off x="2578" y="8125"/>
            <a:ext cx="36195" cy="1270"/>
          </a:xfrm>
          <a:custGeom>
            <a:avLst/>
            <a:gdLst>
              <a:gd name="T0" fmla="*/ 0 w 36195"/>
              <a:gd name="T1" fmla="*/ 0 h 1270"/>
              <a:gd name="T2" fmla="*/ 36099 w 361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6195" h="1270">
                <a:moveTo>
                  <a:pt x="0" y="0"/>
                </a:moveTo>
                <a:lnTo>
                  <a:pt x="36099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Graphic 511">
            <a:extLst>
              <a:ext uri="{FF2B5EF4-FFF2-40B4-BE49-F238E27FC236}">
                <a16:creationId xmlns:a16="http://schemas.microsoft.com/office/drawing/2014/main" id="{B5505E44-5B9F-4239-89C7-66C175D44994}"/>
              </a:ext>
            </a:extLst>
          </xdr:cNvPr>
          <xdr:cNvSpPr>
            <a:spLocks/>
          </xdr:cNvSpPr>
        </xdr:nvSpPr>
        <xdr:spPr bwMode="auto">
          <a:xfrm>
            <a:off x="0" y="5417"/>
            <a:ext cx="41275" cy="5715"/>
          </a:xfrm>
          <a:custGeom>
            <a:avLst/>
            <a:gdLst>
              <a:gd name="T0" fmla="*/ 41257 w 41275"/>
              <a:gd name="T1" fmla="*/ 0 h 5715"/>
              <a:gd name="T2" fmla="*/ 0 w 41275"/>
              <a:gd name="T3" fmla="*/ 0 h 5715"/>
              <a:gd name="T4" fmla="*/ 0 w 41275"/>
              <a:gd name="T5" fmla="*/ 5417 h 5715"/>
              <a:gd name="T6" fmla="*/ 41257 w 41275"/>
              <a:gd name="T7" fmla="*/ 5417 h 5715"/>
              <a:gd name="T8" fmla="*/ 41257 w 412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1275" h="5715">
                <a:moveTo>
                  <a:pt x="41257" y="0"/>
                </a:moveTo>
                <a:lnTo>
                  <a:pt x="0" y="0"/>
                </a:lnTo>
                <a:lnTo>
                  <a:pt x="0" y="5417"/>
                </a:lnTo>
                <a:lnTo>
                  <a:pt x="41257" y="5417"/>
                </a:lnTo>
                <a:lnTo>
                  <a:pt x="41257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Graphic 512">
            <a:extLst>
              <a:ext uri="{FF2B5EF4-FFF2-40B4-BE49-F238E27FC236}">
                <a16:creationId xmlns:a16="http://schemas.microsoft.com/office/drawing/2014/main" id="{0B5835FB-D3EF-98A3-B441-B8773EDC518D}"/>
              </a:ext>
            </a:extLst>
          </xdr:cNvPr>
          <xdr:cNvSpPr>
            <a:spLocks/>
          </xdr:cNvSpPr>
        </xdr:nvSpPr>
        <xdr:spPr bwMode="auto">
          <a:xfrm>
            <a:off x="2578" y="13542"/>
            <a:ext cx="31115" cy="1270"/>
          </a:xfrm>
          <a:custGeom>
            <a:avLst/>
            <a:gdLst>
              <a:gd name="T0" fmla="*/ 0 w 31115"/>
              <a:gd name="T1" fmla="*/ 0 h 1270"/>
              <a:gd name="T2" fmla="*/ 30942 w 311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1115" h="1270">
                <a:moveTo>
                  <a:pt x="0" y="0"/>
                </a:moveTo>
                <a:lnTo>
                  <a:pt x="30942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Graphic 513">
            <a:extLst>
              <a:ext uri="{FF2B5EF4-FFF2-40B4-BE49-F238E27FC236}">
                <a16:creationId xmlns:a16="http://schemas.microsoft.com/office/drawing/2014/main" id="{20D7F888-73A3-C15A-E884-5A08DC7BBFE6}"/>
              </a:ext>
            </a:extLst>
          </xdr:cNvPr>
          <xdr:cNvSpPr>
            <a:spLocks/>
          </xdr:cNvSpPr>
        </xdr:nvSpPr>
        <xdr:spPr bwMode="auto">
          <a:xfrm>
            <a:off x="0" y="10834"/>
            <a:ext cx="36195" cy="5715"/>
          </a:xfrm>
          <a:custGeom>
            <a:avLst/>
            <a:gdLst>
              <a:gd name="T0" fmla="*/ 36099 w 36195"/>
              <a:gd name="T1" fmla="*/ 0 h 5715"/>
              <a:gd name="T2" fmla="*/ 0 w 36195"/>
              <a:gd name="T3" fmla="*/ 0 h 5715"/>
              <a:gd name="T4" fmla="*/ 0 w 36195"/>
              <a:gd name="T5" fmla="*/ 5417 h 5715"/>
              <a:gd name="T6" fmla="*/ 36099 w 36195"/>
              <a:gd name="T7" fmla="*/ 5417 h 5715"/>
              <a:gd name="T8" fmla="*/ 36099 w 3619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6195" h="5715">
                <a:moveTo>
                  <a:pt x="36099" y="0"/>
                </a:moveTo>
                <a:lnTo>
                  <a:pt x="0" y="0"/>
                </a:lnTo>
                <a:lnTo>
                  <a:pt x="0" y="5417"/>
                </a:lnTo>
                <a:lnTo>
                  <a:pt x="36099" y="5417"/>
                </a:lnTo>
                <a:lnTo>
                  <a:pt x="36099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Graphic 514">
            <a:extLst>
              <a:ext uri="{FF2B5EF4-FFF2-40B4-BE49-F238E27FC236}">
                <a16:creationId xmlns:a16="http://schemas.microsoft.com/office/drawing/2014/main" id="{1813C5D8-DA99-A373-BD63-6EFBEAD5B6BF}"/>
              </a:ext>
            </a:extLst>
          </xdr:cNvPr>
          <xdr:cNvSpPr>
            <a:spLocks/>
          </xdr:cNvSpPr>
        </xdr:nvSpPr>
        <xdr:spPr bwMode="auto">
          <a:xfrm>
            <a:off x="2578" y="18959"/>
            <a:ext cx="26034" cy="1270"/>
          </a:xfrm>
          <a:custGeom>
            <a:avLst/>
            <a:gdLst>
              <a:gd name="T0" fmla="*/ 0 w 26034"/>
              <a:gd name="T1" fmla="*/ 0 h 1270"/>
              <a:gd name="T2" fmla="*/ 25785 w 2603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6034" h="1270">
                <a:moveTo>
                  <a:pt x="0" y="0"/>
                </a:moveTo>
                <a:lnTo>
                  <a:pt x="25785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Graphic 515">
            <a:extLst>
              <a:ext uri="{FF2B5EF4-FFF2-40B4-BE49-F238E27FC236}">
                <a16:creationId xmlns:a16="http://schemas.microsoft.com/office/drawing/2014/main" id="{105D6F57-94A8-4172-2120-7D0805A6BF34}"/>
              </a:ext>
            </a:extLst>
          </xdr:cNvPr>
          <xdr:cNvSpPr>
            <a:spLocks/>
          </xdr:cNvSpPr>
        </xdr:nvSpPr>
        <xdr:spPr bwMode="auto">
          <a:xfrm>
            <a:off x="0" y="16305"/>
            <a:ext cx="31115" cy="5715"/>
          </a:xfrm>
          <a:custGeom>
            <a:avLst/>
            <a:gdLst>
              <a:gd name="T0" fmla="*/ 30942 w 31115"/>
              <a:gd name="T1" fmla="*/ 0 h 5715"/>
              <a:gd name="T2" fmla="*/ 0 w 31115"/>
              <a:gd name="T3" fmla="*/ 0 h 5715"/>
              <a:gd name="T4" fmla="*/ 0 w 31115"/>
              <a:gd name="T5" fmla="*/ 5687 h 5715"/>
              <a:gd name="T6" fmla="*/ 30942 w 31115"/>
              <a:gd name="T7" fmla="*/ 5687 h 5715"/>
              <a:gd name="T8" fmla="*/ 30942 w 3111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1115" h="5715">
                <a:moveTo>
                  <a:pt x="30942" y="0"/>
                </a:moveTo>
                <a:lnTo>
                  <a:pt x="0" y="0"/>
                </a:lnTo>
                <a:lnTo>
                  <a:pt x="0" y="5687"/>
                </a:lnTo>
                <a:lnTo>
                  <a:pt x="30942" y="5687"/>
                </a:lnTo>
                <a:lnTo>
                  <a:pt x="3094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Graphic 516">
            <a:extLst>
              <a:ext uri="{FF2B5EF4-FFF2-40B4-BE49-F238E27FC236}">
                <a16:creationId xmlns:a16="http://schemas.microsoft.com/office/drawing/2014/main" id="{DB56E67F-F8A2-772D-B139-05C14024E98A}"/>
              </a:ext>
            </a:extLst>
          </xdr:cNvPr>
          <xdr:cNvSpPr>
            <a:spLocks/>
          </xdr:cNvSpPr>
        </xdr:nvSpPr>
        <xdr:spPr bwMode="auto">
          <a:xfrm>
            <a:off x="2578" y="24702"/>
            <a:ext cx="20955" cy="1270"/>
          </a:xfrm>
          <a:custGeom>
            <a:avLst/>
            <a:gdLst>
              <a:gd name="T0" fmla="*/ 0 w 20955"/>
              <a:gd name="T1" fmla="*/ 0 h 1270"/>
              <a:gd name="T2" fmla="*/ 20628 w 2095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0955" h="1270">
                <a:moveTo>
                  <a:pt x="0" y="0"/>
                </a:moveTo>
                <a:lnTo>
                  <a:pt x="20628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Graphic 517">
            <a:extLst>
              <a:ext uri="{FF2B5EF4-FFF2-40B4-BE49-F238E27FC236}">
                <a16:creationId xmlns:a16="http://schemas.microsoft.com/office/drawing/2014/main" id="{6AE03CB5-B183-F190-606A-68ABDF5EC192}"/>
              </a:ext>
            </a:extLst>
          </xdr:cNvPr>
          <xdr:cNvSpPr>
            <a:spLocks/>
          </xdr:cNvSpPr>
        </xdr:nvSpPr>
        <xdr:spPr bwMode="auto">
          <a:xfrm>
            <a:off x="0" y="21993"/>
            <a:ext cx="26034" cy="5715"/>
          </a:xfrm>
          <a:custGeom>
            <a:avLst/>
            <a:gdLst>
              <a:gd name="T0" fmla="*/ 25785 w 26034"/>
              <a:gd name="T1" fmla="*/ 0 h 5715"/>
              <a:gd name="T2" fmla="*/ 0 w 26034"/>
              <a:gd name="T3" fmla="*/ 0 h 5715"/>
              <a:gd name="T4" fmla="*/ 0 w 26034"/>
              <a:gd name="T5" fmla="*/ 5417 h 5715"/>
              <a:gd name="T6" fmla="*/ 25785 w 26034"/>
              <a:gd name="T7" fmla="*/ 5417 h 5715"/>
              <a:gd name="T8" fmla="*/ 25785 w 26034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6034" h="5715">
                <a:moveTo>
                  <a:pt x="25785" y="0"/>
                </a:moveTo>
                <a:lnTo>
                  <a:pt x="0" y="0"/>
                </a:lnTo>
                <a:lnTo>
                  <a:pt x="0" y="5417"/>
                </a:lnTo>
                <a:lnTo>
                  <a:pt x="25785" y="5417"/>
                </a:lnTo>
                <a:lnTo>
                  <a:pt x="2578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Graphic 518">
            <a:extLst>
              <a:ext uri="{FF2B5EF4-FFF2-40B4-BE49-F238E27FC236}">
                <a16:creationId xmlns:a16="http://schemas.microsoft.com/office/drawing/2014/main" id="{5624DB58-5834-6F1B-CA51-D452F43C0CC8}"/>
              </a:ext>
            </a:extLst>
          </xdr:cNvPr>
          <xdr:cNvSpPr>
            <a:spLocks/>
          </xdr:cNvSpPr>
        </xdr:nvSpPr>
        <xdr:spPr bwMode="auto">
          <a:xfrm>
            <a:off x="2578" y="30119"/>
            <a:ext cx="15875" cy="1270"/>
          </a:xfrm>
          <a:custGeom>
            <a:avLst/>
            <a:gdLst>
              <a:gd name="T0" fmla="*/ 0 w 15875"/>
              <a:gd name="T1" fmla="*/ 0 h 1270"/>
              <a:gd name="T2" fmla="*/ 15471 w 158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5875" h="1270">
                <a:moveTo>
                  <a:pt x="0" y="0"/>
                </a:moveTo>
                <a:lnTo>
                  <a:pt x="15471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" name="Graphic 519">
            <a:extLst>
              <a:ext uri="{FF2B5EF4-FFF2-40B4-BE49-F238E27FC236}">
                <a16:creationId xmlns:a16="http://schemas.microsoft.com/office/drawing/2014/main" id="{2CD63973-0D82-E311-7260-CF9585BC200A}"/>
              </a:ext>
            </a:extLst>
          </xdr:cNvPr>
          <xdr:cNvSpPr>
            <a:spLocks/>
          </xdr:cNvSpPr>
        </xdr:nvSpPr>
        <xdr:spPr bwMode="auto">
          <a:xfrm>
            <a:off x="0" y="27410"/>
            <a:ext cx="20955" cy="5715"/>
          </a:xfrm>
          <a:custGeom>
            <a:avLst/>
            <a:gdLst>
              <a:gd name="T0" fmla="*/ 20628 w 20955"/>
              <a:gd name="T1" fmla="*/ 0 h 5715"/>
              <a:gd name="T2" fmla="*/ 0 w 20955"/>
              <a:gd name="T3" fmla="*/ 0 h 5715"/>
              <a:gd name="T4" fmla="*/ 0 w 20955"/>
              <a:gd name="T5" fmla="*/ 5417 h 5715"/>
              <a:gd name="T6" fmla="*/ 20628 w 20955"/>
              <a:gd name="T7" fmla="*/ 5417 h 5715"/>
              <a:gd name="T8" fmla="*/ 20628 w 2095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955" h="5715">
                <a:moveTo>
                  <a:pt x="20628" y="0"/>
                </a:moveTo>
                <a:lnTo>
                  <a:pt x="0" y="0"/>
                </a:lnTo>
                <a:lnTo>
                  <a:pt x="0" y="5417"/>
                </a:lnTo>
                <a:lnTo>
                  <a:pt x="20628" y="5417"/>
                </a:lnTo>
                <a:lnTo>
                  <a:pt x="2062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Graphic 520">
            <a:extLst>
              <a:ext uri="{FF2B5EF4-FFF2-40B4-BE49-F238E27FC236}">
                <a16:creationId xmlns:a16="http://schemas.microsoft.com/office/drawing/2014/main" id="{42285DDB-007F-E44F-AC12-F8E9D81261B3}"/>
              </a:ext>
            </a:extLst>
          </xdr:cNvPr>
          <xdr:cNvSpPr>
            <a:spLocks/>
          </xdr:cNvSpPr>
        </xdr:nvSpPr>
        <xdr:spPr bwMode="auto">
          <a:xfrm>
            <a:off x="2578" y="35536"/>
            <a:ext cx="10795" cy="1270"/>
          </a:xfrm>
          <a:custGeom>
            <a:avLst/>
            <a:gdLst>
              <a:gd name="T0" fmla="*/ 0 w 10795"/>
              <a:gd name="T1" fmla="*/ 0 h 1270"/>
              <a:gd name="T2" fmla="*/ 10314 w 107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0795" h="1270">
                <a:moveTo>
                  <a:pt x="0" y="0"/>
                </a:moveTo>
                <a:lnTo>
                  <a:pt x="10314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Graphic 521">
            <a:extLst>
              <a:ext uri="{FF2B5EF4-FFF2-40B4-BE49-F238E27FC236}">
                <a16:creationId xmlns:a16="http://schemas.microsoft.com/office/drawing/2014/main" id="{C99851A8-DDD8-E6E5-CD0D-FBF3585D6DCC}"/>
              </a:ext>
            </a:extLst>
          </xdr:cNvPr>
          <xdr:cNvSpPr>
            <a:spLocks/>
          </xdr:cNvSpPr>
        </xdr:nvSpPr>
        <xdr:spPr bwMode="auto">
          <a:xfrm>
            <a:off x="0" y="32827"/>
            <a:ext cx="15875" cy="5715"/>
          </a:xfrm>
          <a:custGeom>
            <a:avLst/>
            <a:gdLst>
              <a:gd name="T0" fmla="*/ 15471 w 15875"/>
              <a:gd name="T1" fmla="*/ 0 h 5715"/>
              <a:gd name="T2" fmla="*/ 0 w 15875"/>
              <a:gd name="T3" fmla="*/ 0 h 5715"/>
              <a:gd name="T4" fmla="*/ 0 w 15875"/>
              <a:gd name="T5" fmla="*/ 5417 h 5715"/>
              <a:gd name="T6" fmla="*/ 15471 w 15875"/>
              <a:gd name="T7" fmla="*/ 5417 h 5715"/>
              <a:gd name="T8" fmla="*/ 15471 w 158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875" h="5715">
                <a:moveTo>
                  <a:pt x="15471" y="0"/>
                </a:moveTo>
                <a:lnTo>
                  <a:pt x="0" y="0"/>
                </a:lnTo>
                <a:lnTo>
                  <a:pt x="0" y="5417"/>
                </a:lnTo>
                <a:lnTo>
                  <a:pt x="15471" y="5417"/>
                </a:lnTo>
                <a:lnTo>
                  <a:pt x="15471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7" name="Graphic 522">
            <a:extLst>
              <a:ext uri="{FF2B5EF4-FFF2-40B4-BE49-F238E27FC236}">
                <a16:creationId xmlns:a16="http://schemas.microsoft.com/office/drawing/2014/main" id="{3CA434DC-9ECE-3699-BFF9-4898B3359106}"/>
              </a:ext>
            </a:extLst>
          </xdr:cNvPr>
          <xdr:cNvSpPr>
            <a:spLocks/>
          </xdr:cNvSpPr>
        </xdr:nvSpPr>
        <xdr:spPr bwMode="auto">
          <a:xfrm>
            <a:off x="2578" y="40953"/>
            <a:ext cx="5715" cy="1270"/>
          </a:xfrm>
          <a:custGeom>
            <a:avLst/>
            <a:gdLst>
              <a:gd name="T0" fmla="*/ 0 w 5715"/>
              <a:gd name="T1" fmla="*/ 0 h 1270"/>
              <a:gd name="T2" fmla="*/ 5157 w 57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715" h="1270">
                <a:moveTo>
                  <a:pt x="0" y="0"/>
                </a:moveTo>
                <a:lnTo>
                  <a:pt x="51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" name="Graphic 523">
            <a:extLst>
              <a:ext uri="{FF2B5EF4-FFF2-40B4-BE49-F238E27FC236}">
                <a16:creationId xmlns:a16="http://schemas.microsoft.com/office/drawing/2014/main" id="{C6CEE600-5C55-83DE-7C34-C202643CEAB3}"/>
              </a:ext>
            </a:extLst>
          </xdr:cNvPr>
          <xdr:cNvSpPr>
            <a:spLocks/>
          </xdr:cNvSpPr>
        </xdr:nvSpPr>
        <xdr:spPr bwMode="auto">
          <a:xfrm>
            <a:off x="-8" y="38251"/>
            <a:ext cx="10795" cy="11430"/>
          </a:xfrm>
          <a:custGeom>
            <a:avLst/>
            <a:gdLst>
              <a:gd name="T0" fmla="*/ 10312 w 10795"/>
              <a:gd name="T1" fmla="*/ 0 h 11430"/>
              <a:gd name="T2" fmla="*/ 0 w 10795"/>
              <a:gd name="T3" fmla="*/ 0 h 11430"/>
              <a:gd name="T4" fmla="*/ 0 w 10795"/>
              <a:gd name="T5" fmla="*/ 5422 h 11430"/>
              <a:gd name="T6" fmla="*/ 0 w 10795"/>
              <a:gd name="T7" fmla="*/ 10833 h 11430"/>
              <a:gd name="T8" fmla="*/ 5156 w 10795"/>
              <a:gd name="T9" fmla="*/ 10833 h 11430"/>
              <a:gd name="T10" fmla="*/ 5156 w 10795"/>
              <a:gd name="T11" fmla="*/ 5422 h 11430"/>
              <a:gd name="T12" fmla="*/ 10312 w 10795"/>
              <a:gd name="T13" fmla="*/ 5422 h 11430"/>
              <a:gd name="T14" fmla="*/ 10312 w 10795"/>
              <a:gd name="T15" fmla="*/ 0 h 1143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0795" h="11430">
                <a:moveTo>
                  <a:pt x="10312" y="0"/>
                </a:moveTo>
                <a:lnTo>
                  <a:pt x="0" y="0"/>
                </a:lnTo>
                <a:lnTo>
                  <a:pt x="0" y="5422"/>
                </a:lnTo>
                <a:lnTo>
                  <a:pt x="0" y="10833"/>
                </a:lnTo>
                <a:lnTo>
                  <a:pt x="5156" y="10833"/>
                </a:lnTo>
                <a:lnTo>
                  <a:pt x="5156" y="5422"/>
                </a:lnTo>
                <a:lnTo>
                  <a:pt x="10312" y="5422"/>
                </a:lnTo>
                <a:lnTo>
                  <a:pt x="1031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0</xdr:colOff>
      <xdr:row>4</xdr:row>
      <xdr:rowOff>9525</xdr:rowOff>
    </xdr:from>
    <xdr:to>
      <xdr:col>7</xdr:col>
      <xdr:colOff>38100</xdr:colOff>
      <xdr:row>4</xdr:row>
      <xdr:rowOff>57150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AC238F5-E704-4891-B653-55792EB2D3FF}"/>
            </a:ext>
          </a:extLst>
        </xdr:cNvPr>
        <xdr:cNvGrpSpPr>
          <a:grpSpLocks/>
        </xdr:cNvGrpSpPr>
      </xdr:nvGrpSpPr>
      <xdr:grpSpPr bwMode="auto">
        <a:xfrm>
          <a:off x="4909038" y="786179"/>
          <a:ext cx="38100" cy="47625"/>
          <a:chOff x="0" y="0"/>
          <a:chExt cx="46990" cy="49530"/>
        </a:xfrm>
      </xdr:grpSpPr>
      <xdr:sp macro="" textlink="">
        <xdr:nvSpPr>
          <xdr:cNvPr id="20" name="Graphic 525">
            <a:extLst>
              <a:ext uri="{FF2B5EF4-FFF2-40B4-BE49-F238E27FC236}">
                <a16:creationId xmlns:a16="http://schemas.microsoft.com/office/drawing/2014/main" id="{24477425-34CE-7189-61CD-10D5ECBC965F}"/>
              </a:ext>
            </a:extLst>
          </xdr:cNvPr>
          <xdr:cNvSpPr>
            <a:spLocks/>
          </xdr:cNvSpPr>
        </xdr:nvSpPr>
        <xdr:spPr bwMode="auto">
          <a:xfrm>
            <a:off x="2578" y="2708"/>
            <a:ext cx="41275" cy="1270"/>
          </a:xfrm>
          <a:custGeom>
            <a:avLst/>
            <a:gdLst>
              <a:gd name="T0" fmla="*/ 0 w 41275"/>
              <a:gd name="T1" fmla="*/ 0 h 1270"/>
              <a:gd name="T2" fmla="*/ 41257 w 412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1275" h="1270">
                <a:moveTo>
                  <a:pt x="0" y="0"/>
                </a:moveTo>
                <a:lnTo>
                  <a:pt x="412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" name="Graphic 526">
            <a:extLst>
              <a:ext uri="{FF2B5EF4-FFF2-40B4-BE49-F238E27FC236}">
                <a16:creationId xmlns:a16="http://schemas.microsoft.com/office/drawing/2014/main" id="{78403ED3-F18F-D40D-D058-EB7A32B26882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6990" cy="5715"/>
          </a:xfrm>
          <a:custGeom>
            <a:avLst/>
            <a:gdLst>
              <a:gd name="T0" fmla="*/ 46414 w 46990"/>
              <a:gd name="T1" fmla="*/ 0 h 5715"/>
              <a:gd name="T2" fmla="*/ 0 w 46990"/>
              <a:gd name="T3" fmla="*/ 0 h 5715"/>
              <a:gd name="T4" fmla="*/ 0 w 46990"/>
              <a:gd name="T5" fmla="*/ 5417 h 5715"/>
              <a:gd name="T6" fmla="*/ 46414 w 46990"/>
              <a:gd name="T7" fmla="*/ 5417 h 5715"/>
              <a:gd name="T8" fmla="*/ 46414 w 46990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6990" h="5715">
                <a:moveTo>
                  <a:pt x="46414" y="0"/>
                </a:moveTo>
                <a:lnTo>
                  <a:pt x="0" y="0"/>
                </a:lnTo>
                <a:lnTo>
                  <a:pt x="0" y="5417"/>
                </a:lnTo>
                <a:lnTo>
                  <a:pt x="46414" y="5417"/>
                </a:lnTo>
                <a:lnTo>
                  <a:pt x="4641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2" name="Graphic 527">
            <a:extLst>
              <a:ext uri="{FF2B5EF4-FFF2-40B4-BE49-F238E27FC236}">
                <a16:creationId xmlns:a16="http://schemas.microsoft.com/office/drawing/2014/main" id="{1EAE74C3-E50E-5ABF-0663-BC503550E654}"/>
              </a:ext>
            </a:extLst>
          </xdr:cNvPr>
          <xdr:cNvSpPr>
            <a:spLocks/>
          </xdr:cNvSpPr>
        </xdr:nvSpPr>
        <xdr:spPr bwMode="auto">
          <a:xfrm>
            <a:off x="2578" y="8125"/>
            <a:ext cx="36195" cy="1270"/>
          </a:xfrm>
          <a:custGeom>
            <a:avLst/>
            <a:gdLst>
              <a:gd name="T0" fmla="*/ 0 w 36195"/>
              <a:gd name="T1" fmla="*/ 0 h 1270"/>
              <a:gd name="T2" fmla="*/ 36099 w 361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6195" h="1270">
                <a:moveTo>
                  <a:pt x="0" y="0"/>
                </a:moveTo>
                <a:lnTo>
                  <a:pt x="36099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Graphic 528">
            <a:extLst>
              <a:ext uri="{FF2B5EF4-FFF2-40B4-BE49-F238E27FC236}">
                <a16:creationId xmlns:a16="http://schemas.microsoft.com/office/drawing/2014/main" id="{24A9DA38-7BFF-B7BE-B476-8E5699002F20}"/>
              </a:ext>
            </a:extLst>
          </xdr:cNvPr>
          <xdr:cNvSpPr>
            <a:spLocks/>
          </xdr:cNvSpPr>
        </xdr:nvSpPr>
        <xdr:spPr bwMode="auto">
          <a:xfrm>
            <a:off x="0" y="5417"/>
            <a:ext cx="41275" cy="5715"/>
          </a:xfrm>
          <a:custGeom>
            <a:avLst/>
            <a:gdLst>
              <a:gd name="T0" fmla="*/ 41257 w 41275"/>
              <a:gd name="T1" fmla="*/ 0 h 5715"/>
              <a:gd name="T2" fmla="*/ 0 w 41275"/>
              <a:gd name="T3" fmla="*/ 0 h 5715"/>
              <a:gd name="T4" fmla="*/ 0 w 41275"/>
              <a:gd name="T5" fmla="*/ 5417 h 5715"/>
              <a:gd name="T6" fmla="*/ 41257 w 41275"/>
              <a:gd name="T7" fmla="*/ 5417 h 5715"/>
              <a:gd name="T8" fmla="*/ 41257 w 412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1275" h="5715">
                <a:moveTo>
                  <a:pt x="41257" y="0"/>
                </a:moveTo>
                <a:lnTo>
                  <a:pt x="0" y="0"/>
                </a:lnTo>
                <a:lnTo>
                  <a:pt x="0" y="5417"/>
                </a:lnTo>
                <a:lnTo>
                  <a:pt x="41257" y="5417"/>
                </a:lnTo>
                <a:lnTo>
                  <a:pt x="41257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4" name="Graphic 529">
            <a:extLst>
              <a:ext uri="{FF2B5EF4-FFF2-40B4-BE49-F238E27FC236}">
                <a16:creationId xmlns:a16="http://schemas.microsoft.com/office/drawing/2014/main" id="{9E37349F-6B23-C019-E01A-EB12A38CF5FC}"/>
              </a:ext>
            </a:extLst>
          </xdr:cNvPr>
          <xdr:cNvSpPr>
            <a:spLocks/>
          </xdr:cNvSpPr>
        </xdr:nvSpPr>
        <xdr:spPr bwMode="auto">
          <a:xfrm>
            <a:off x="2578" y="13542"/>
            <a:ext cx="31115" cy="1270"/>
          </a:xfrm>
          <a:custGeom>
            <a:avLst/>
            <a:gdLst>
              <a:gd name="T0" fmla="*/ 0 w 31115"/>
              <a:gd name="T1" fmla="*/ 0 h 1270"/>
              <a:gd name="T2" fmla="*/ 30942 w 311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1115" h="1270">
                <a:moveTo>
                  <a:pt x="0" y="0"/>
                </a:moveTo>
                <a:lnTo>
                  <a:pt x="30942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Graphic 530">
            <a:extLst>
              <a:ext uri="{FF2B5EF4-FFF2-40B4-BE49-F238E27FC236}">
                <a16:creationId xmlns:a16="http://schemas.microsoft.com/office/drawing/2014/main" id="{C9E6AF3C-5DE9-59F3-B2C1-04B69092D864}"/>
              </a:ext>
            </a:extLst>
          </xdr:cNvPr>
          <xdr:cNvSpPr>
            <a:spLocks/>
          </xdr:cNvSpPr>
        </xdr:nvSpPr>
        <xdr:spPr bwMode="auto">
          <a:xfrm>
            <a:off x="0" y="10834"/>
            <a:ext cx="36195" cy="5715"/>
          </a:xfrm>
          <a:custGeom>
            <a:avLst/>
            <a:gdLst>
              <a:gd name="T0" fmla="*/ 36099 w 36195"/>
              <a:gd name="T1" fmla="*/ 0 h 5715"/>
              <a:gd name="T2" fmla="*/ 0 w 36195"/>
              <a:gd name="T3" fmla="*/ 0 h 5715"/>
              <a:gd name="T4" fmla="*/ 0 w 36195"/>
              <a:gd name="T5" fmla="*/ 5417 h 5715"/>
              <a:gd name="T6" fmla="*/ 36099 w 36195"/>
              <a:gd name="T7" fmla="*/ 5417 h 5715"/>
              <a:gd name="T8" fmla="*/ 36099 w 3619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6195" h="5715">
                <a:moveTo>
                  <a:pt x="36099" y="0"/>
                </a:moveTo>
                <a:lnTo>
                  <a:pt x="0" y="0"/>
                </a:lnTo>
                <a:lnTo>
                  <a:pt x="0" y="5417"/>
                </a:lnTo>
                <a:lnTo>
                  <a:pt x="36099" y="5417"/>
                </a:lnTo>
                <a:lnTo>
                  <a:pt x="36099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Graphic 531">
            <a:extLst>
              <a:ext uri="{FF2B5EF4-FFF2-40B4-BE49-F238E27FC236}">
                <a16:creationId xmlns:a16="http://schemas.microsoft.com/office/drawing/2014/main" id="{871746BA-C5D4-1CC9-15B2-34BB076C6475}"/>
              </a:ext>
            </a:extLst>
          </xdr:cNvPr>
          <xdr:cNvSpPr>
            <a:spLocks/>
          </xdr:cNvSpPr>
        </xdr:nvSpPr>
        <xdr:spPr bwMode="auto">
          <a:xfrm>
            <a:off x="2578" y="18959"/>
            <a:ext cx="26034" cy="1270"/>
          </a:xfrm>
          <a:custGeom>
            <a:avLst/>
            <a:gdLst>
              <a:gd name="T0" fmla="*/ 0 w 26034"/>
              <a:gd name="T1" fmla="*/ 0 h 1270"/>
              <a:gd name="T2" fmla="*/ 25785 w 2603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6034" h="1270">
                <a:moveTo>
                  <a:pt x="0" y="0"/>
                </a:moveTo>
                <a:lnTo>
                  <a:pt x="25785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" name="Graphic 532">
            <a:extLst>
              <a:ext uri="{FF2B5EF4-FFF2-40B4-BE49-F238E27FC236}">
                <a16:creationId xmlns:a16="http://schemas.microsoft.com/office/drawing/2014/main" id="{80C25A1F-5D25-0333-F1C2-07DBB69F370F}"/>
              </a:ext>
            </a:extLst>
          </xdr:cNvPr>
          <xdr:cNvSpPr>
            <a:spLocks/>
          </xdr:cNvSpPr>
        </xdr:nvSpPr>
        <xdr:spPr bwMode="auto">
          <a:xfrm>
            <a:off x="0" y="16251"/>
            <a:ext cx="31115" cy="5715"/>
          </a:xfrm>
          <a:custGeom>
            <a:avLst/>
            <a:gdLst>
              <a:gd name="T0" fmla="*/ 30942 w 31115"/>
              <a:gd name="T1" fmla="*/ 0 h 5715"/>
              <a:gd name="T2" fmla="*/ 0 w 31115"/>
              <a:gd name="T3" fmla="*/ 0 h 5715"/>
              <a:gd name="T4" fmla="*/ 0 w 31115"/>
              <a:gd name="T5" fmla="*/ 5417 h 5715"/>
              <a:gd name="T6" fmla="*/ 30942 w 31115"/>
              <a:gd name="T7" fmla="*/ 5417 h 5715"/>
              <a:gd name="T8" fmla="*/ 30942 w 3111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1115" h="5715">
                <a:moveTo>
                  <a:pt x="30942" y="0"/>
                </a:moveTo>
                <a:lnTo>
                  <a:pt x="0" y="0"/>
                </a:lnTo>
                <a:lnTo>
                  <a:pt x="0" y="5417"/>
                </a:lnTo>
                <a:lnTo>
                  <a:pt x="30942" y="5417"/>
                </a:lnTo>
                <a:lnTo>
                  <a:pt x="3094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" name="Graphic 533">
            <a:extLst>
              <a:ext uri="{FF2B5EF4-FFF2-40B4-BE49-F238E27FC236}">
                <a16:creationId xmlns:a16="http://schemas.microsoft.com/office/drawing/2014/main" id="{471C5D79-C14D-EA42-8F17-4324BBDC5D29}"/>
              </a:ext>
            </a:extLst>
          </xdr:cNvPr>
          <xdr:cNvSpPr>
            <a:spLocks/>
          </xdr:cNvSpPr>
        </xdr:nvSpPr>
        <xdr:spPr bwMode="auto">
          <a:xfrm>
            <a:off x="2578" y="24377"/>
            <a:ext cx="20955" cy="1270"/>
          </a:xfrm>
          <a:custGeom>
            <a:avLst/>
            <a:gdLst>
              <a:gd name="T0" fmla="*/ 0 w 20955"/>
              <a:gd name="T1" fmla="*/ 0 h 1270"/>
              <a:gd name="T2" fmla="*/ 20628 w 2095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0955" h="1270">
                <a:moveTo>
                  <a:pt x="0" y="0"/>
                </a:moveTo>
                <a:lnTo>
                  <a:pt x="20628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Graphic 534">
            <a:extLst>
              <a:ext uri="{FF2B5EF4-FFF2-40B4-BE49-F238E27FC236}">
                <a16:creationId xmlns:a16="http://schemas.microsoft.com/office/drawing/2014/main" id="{0F12DD46-D05E-4E99-15E2-2916486D8DBF}"/>
              </a:ext>
            </a:extLst>
          </xdr:cNvPr>
          <xdr:cNvSpPr>
            <a:spLocks/>
          </xdr:cNvSpPr>
        </xdr:nvSpPr>
        <xdr:spPr bwMode="auto">
          <a:xfrm>
            <a:off x="0" y="21668"/>
            <a:ext cx="26034" cy="5715"/>
          </a:xfrm>
          <a:custGeom>
            <a:avLst/>
            <a:gdLst>
              <a:gd name="T0" fmla="*/ 25785 w 26034"/>
              <a:gd name="T1" fmla="*/ 0 h 5715"/>
              <a:gd name="T2" fmla="*/ 0 w 26034"/>
              <a:gd name="T3" fmla="*/ 0 h 5715"/>
              <a:gd name="T4" fmla="*/ 0 w 26034"/>
              <a:gd name="T5" fmla="*/ 5417 h 5715"/>
              <a:gd name="T6" fmla="*/ 25785 w 26034"/>
              <a:gd name="T7" fmla="*/ 5417 h 5715"/>
              <a:gd name="T8" fmla="*/ 25785 w 26034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6034" h="5715">
                <a:moveTo>
                  <a:pt x="25785" y="0"/>
                </a:moveTo>
                <a:lnTo>
                  <a:pt x="0" y="0"/>
                </a:lnTo>
                <a:lnTo>
                  <a:pt x="0" y="5417"/>
                </a:lnTo>
                <a:lnTo>
                  <a:pt x="25785" y="5417"/>
                </a:lnTo>
                <a:lnTo>
                  <a:pt x="2578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Graphic 535">
            <a:extLst>
              <a:ext uri="{FF2B5EF4-FFF2-40B4-BE49-F238E27FC236}">
                <a16:creationId xmlns:a16="http://schemas.microsoft.com/office/drawing/2014/main" id="{9417B834-9935-24DB-AC5B-48FB4167CD1F}"/>
              </a:ext>
            </a:extLst>
          </xdr:cNvPr>
          <xdr:cNvSpPr>
            <a:spLocks/>
          </xdr:cNvSpPr>
        </xdr:nvSpPr>
        <xdr:spPr bwMode="auto">
          <a:xfrm>
            <a:off x="2578" y="29794"/>
            <a:ext cx="15875" cy="1270"/>
          </a:xfrm>
          <a:custGeom>
            <a:avLst/>
            <a:gdLst>
              <a:gd name="T0" fmla="*/ 0 w 15875"/>
              <a:gd name="T1" fmla="*/ 0 h 1270"/>
              <a:gd name="T2" fmla="*/ 15471 w 158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5875" h="1270">
                <a:moveTo>
                  <a:pt x="0" y="0"/>
                </a:moveTo>
                <a:lnTo>
                  <a:pt x="15471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Graphic 536">
            <a:extLst>
              <a:ext uri="{FF2B5EF4-FFF2-40B4-BE49-F238E27FC236}">
                <a16:creationId xmlns:a16="http://schemas.microsoft.com/office/drawing/2014/main" id="{8DB3FC28-F774-0133-70B8-E99FBA4349EA}"/>
              </a:ext>
            </a:extLst>
          </xdr:cNvPr>
          <xdr:cNvSpPr>
            <a:spLocks/>
          </xdr:cNvSpPr>
        </xdr:nvSpPr>
        <xdr:spPr bwMode="auto">
          <a:xfrm>
            <a:off x="0" y="27085"/>
            <a:ext cx="20955" cy="5715"/>
          </a:xfrm>
          <a:custGeom>
            <a:avLst/>
            <a:gdLst>
              <a:gd name="T0" fmla="*/ 20628 w 20955"/>
              <a:gd name="T1" fmla="*/ 0 h 5715"/>
              <a:gd name="T2" fmla="*/ 0 w 20955"/>
              <a:gd name="T3" fmla="*/ 0 h 5715"/>
              <a:gd name="T4" fmla="*/ 0 w 20955"/>
              <a:gd name="T5" fmla="*/ 5417 h 5715"/>
              <a:gd name="T6" fmla="*/ 20628 w 20955"/>
              <a:gd name="T7" fmla="*/ 5417 h 5715"/>
              <a:gd name="T8" fmla="*/ 20628 w 2095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955" h="5715">
                <a:moveTo>
                  <a:pt x="20628" y="0"/>
                </a:moveTo>
                <a:lnTo>
                  <a:pt x="0" y="0"/>
                </a:lnTo>
                <a:lnTo>
                  <a:pt x="0" y="5417"/>
                </a:lnTo>
                <a:lnTo>
                  <a:pt x="20628" y="5417"/>
                </a:lnTo>
                <a:lnTo>
                  <a:pt x="2062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" name="Graphic 537">
            <a:extLst>
              <a:ext uri="{FF2B5EF4-FFF2-40B4-BE49-F238E27FC236}">
                <a16:creationId xmlns:a16="http://schemas.microsoft.com/office/drawing/2014/main" id="{460B950D-0E05-75C2-621D-9B14428981BC}"/>
              </a:ext>
            </a:extLst>
          </xdr:cNvPr>
          <xdr:cNvSpPr>
            <a:spLocks/>
          </xdr:cNvSpPr>
        </xdr:nvSpPr>
        <xdr:spPr bwMode="auto">
          <a:xfrm>
            <a:off x="2578" y="35211"/>
            <a:ext cx="10795" cy="1270"/>
          </a:xfrm>
          <a:custGeom>
            <a:avLst/>
            <a:gdLst>
              <a:gd name="T0" fmla="*/ 0 w 10795"/>
              <a:gd name="T1" fmla="*/ 0 h 1270"/>
              <a:gd name="T2" fmla="*/ 10314 w 1079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0795" h="1270">
                <a:moveTo>
                  <a:pt x="0" y="0"/>
                </a:moveTo>
                <a:lnTo>
                  <a:pt x="10314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Graphic 538">
            <a:extLst>
              <a:ext uri="{FF2B5EF4-FFF2-40B4-BE49-F238E27FC236}">
                <a16:creationId xmlns:a16="http://schemas.microsoft.com/office/drawing/2014/main" id="{61068868-F128-EEDC-358D-E404FE1378CD}"/>
              </a:ext>
            </a:extLst>
          </xdr:cNvPr>
          <xdr:cNvSpPr>
            <a:spLocks/>
          </xdr:cNvSpPr>
        </xdr:nvSpPr>
        <xdr:spPr bwMode="auto">
          <a:xfrm>
            <a:off x="0" y="32448"/>
            <a:ext cx="15875" cy="5715"/>
          </a:xfrm>
          <a:custGeom>
            <a:avLst/>
            <a:gdLst>
              <a:gd name="T0" fmla="*/ 15471 w 15875"/>
              <a:gd name="T1" fmla="*/ 0 h 5715"/>
              <a:gd name="T2" fmla="*/ 0 w 15875"/>
              <a:gd name="T3" fmla="*/ 0 h 5715"/>
              <a:gd name="T4" fmla="*/ 0 w 15875"/>
              <a:gd name="T5" fmla="*/ 5687 h 5715"/>
              <a:gd name="T6" fmla="*/ 15471 w 15875"/>
              <a:gd name="T7" fmla="*/ 5687 h 5715"/>
              <a:gd name="T8" fmla="*/ 15471 w 15875"/>
              <a:gd name="T9" fmla="*/ 0 h 571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875" h="5715">
                <a:moveTo>
                  <a:pt x="15471" y="0"/>
                </a:moveTo>
                <a:lnTo>
                  <a:pt x="0" y="0"/>
                </a:lnTo>
                <a:lnTo>
                  <a:pt x="0" y="5687"/>
                </a:lnTo>
                <a:lnTo>
                  <a:pt x="15471" y="5687"/>
                </a:lnTo>
                <a:lnTo>
                  <a:pt x="15471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" name="Graphic 539">
            <a:extLst>
              <a:ext uri="{FF2B5EF4-FFF2-40B4-BE49-F238E27FC236}">
                <a16:creationId xmlns:a16="http://schemas.microsoft.com/office/drawing/2014/main" id="{3B87AEA4-0669-9D6C-DCF9-227537969777}"/>
              </a:ext>
            </a:extLst>
          </xdr:cNvPr>
          <xdr:cNvSpPr>
            <a:spLocks/>
          </xdr:cNvSpPr>
        </xdr:nvSpPr>
        <xdr:spPr bwMode="auto">
          <a:xfrm>
            <a:off x="2578" y="40845"/>
            <a:ext cx="5715" cy="1270"/>
          </a:xfrm>
          <a:custGeom>
            <a:avLst/>
            <a:gdLst>
              <a:gd name="T0" fmla="*/ 0 w 5715"/>
              <a:gd name="T1" fmla="*/ 0 h 1270"/>
              <a:gd name="T2" fmla="*/ 5157 w 571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715" h="1270">
                <a:moveTo>
                  <a:pt x="0" y="0"/>
                </a:moveTo>
                <a:lnTo>
                  <a:pt x="5157" y="0"/>
                </a:lnTo>
              </a:path>
            </a:pathLst>
          </a:custGeom>
          <a:noFill/>
          <a:ln w="5417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" name="Graphic 540">
            <a:extLst>
              <a:ext uri="{FF2B5EF4-FFF2-40B4-BE49-F238E27FC236}">
                <a16:creationId xmlns:a16="http://schemas.microsoft.com/office/drawing/2014/main" id="{710CCC69-4B2D-7CD5-3EBF-EB5C6B04B255}"/>
              </a:ext>
            </a:extLst>
          </xdr:cNvPr>
          <xdr:cNvSpPr>
            <a:spLocks/>
          </xdr:cNvSpPr>
        </xdr:nvSpPr>
        <xdr:spPr bwMode="auto">
          <a:xfrm>
            <a:off x="-8" y="38138"/>
            <a:ext cx="10795" cy="11430"/>
          </a:xfrm>
          <a:custGeom>
            <a:avLst/>
            <a:gdLst>
              <a:gd name="T0" fmla="*/ 10312 w 10795"/>
              <a:gd name="T1" fmla="*/ 0 h 11430"/>
              <a:gd name="T2" fmla="*/ 0 w 10795"/>
              <a:gd name="T3" fmla="*/ 0 h 11430"/>
              <a:gd name="T4" fmla="*/ 0 w 10795"/>
              <a:gd name="T5" fmla="*/ 5422 h 11430"/>
              <a:gd name="T6" fmla="*/ 0 w 10795"/>
              <a:gd name="T7" fmla="*/ 10833 h 11430"/>
              <a:gd name="T8" fmla="*/ 5156 w 10795"/>
              <a:gd name="T9" fmla="*/ 10833 h 11430"/>
              <a:gd name="T10" fmla="*/ 5156 w 10795"/>
              <a:gd name="T11" fmla="*/ 5422 h 11430"/>
              <a:gd name="T12" fmla="*/ 10312 w 10795"/>
              <a:gd name="T13" fmla="*/ 5422 h 11430"/>
              <a:gd name="T14" fmla="*/ 10312 w 10795"/>
              <a:gd name="T15" fmla="*/ 0 h 1143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0795" h="11430">
                <a:moveTo>
                  <a:pt x="10312" y="0"/>
                </a:moveTo>
                <a:lnTo>
                  <a:pt x="0" y="0"/>
                </a:lnTo>
                <a:lnTo>
                  <a:pt x="0" y="5422"/>
                </a:lnTo>
                <a:lnTo>
                  <a:pt x="0" y="10833"/>
                </a:lnTo>
                <a:lnTo>
                  <a:pt x="5156" y="10833"/>
                </a:lnTo>
                <a:lnTo>
                  <a:pt x="5156" y="5422"/>
                </a:lnTo>
                <a:lnTo>
                  <a:pt x="10312" y="5422"/>
                </a:lnTo>
                <a:lnTo>
                  <a:pt x="1031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2</xdr:row>
      <xdr:rowOff>0</xdr:rowOff>
    </xdr:from>
    <xdr:to>
      <xdr:col>13</xdr:col>
      <xdr:colOff>523862</xdr:colOff>
      <xdr:row>3</xdr:row>
      <xdr:rowOff>161272</xdr:rowOff>
    </xdr:to>
    <xdr:sp macro="" textlink="">
      <xdr:nvSpPr>
        <xdr:cNvPr id="2" name="Textbox 554">
          <a:extLst>
            <a:ext uri="{FF2B5EF4-FFF2-40B4-BE49-F238E27FC236}">
              <a16:creationId xmlns:a16="http://schemas.microsoft.com/office/drawing/2014/main" id="{587A36F1-796E-4A3E-B620-18808DC6888F}"/>
            </a:ext>
          </a:extLst>
        </xdr:cNvPr>
        <xdr:cNvSpPr txBox="1"/>
      </xdr:nvSpPr>
      <xdr:spPr>
        <a:xfrm>
          <a:off x="10204450" y="844550"/>
          <a:ext cx="5235562" cy="345422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>
            <a:lnSpc>
              <a:spcPts val="1280"/>
            </a:lnSpc>
            <a:spcAft>
              <a:spcPts val="0"/>
            </a:spcAft>
            <a:tabLst>
              <a:tab pos="1739265" algn="l"/>
              <a:tab pos="2519680" algn="l"/>
            </a:tabLst>
          </a:pPr>
          <a:r>
            <a:rPr lang="id-ID" sz="1000" spc="-20">
              <a:effectLst/>
              <a:latin typeface="Cambria"/>
              <a:ea typeface="Cambria"/>
              <a:cs typeface="Cambria"/>
            </a:rPr>
            <a:t>NUSP</a:t>
          </a:r>
          <a:r>
            <a:rPr lang="id-ID" sz="1000">
              <a:effectLst/>
              <a:latin typeface="Cambria"/>
              <a:ea typeface="Cambria"/>
              <a:cs typeface="Cambria"/>
            </a:rPr>
            <a:t>	</a:t>
          </a:r>
          <a:r>
            <a:rPr lang="id-ID" sz="1100" spc="-50">
              <a:effectLst/>
              <a:latin typeface="Cambria"/>
              <a:ea typeface="Cambria"/>
              <a:cs typeface="Cambria"/>
            </a:rPr>
            <a:t>:</a:t>
          </a:r>
          <a:r>
            <a:rPr lang="en-US" sz="1100" spc="-50">
              <a:effectLst/>
              <a:latin typeface="Cambria"/>
              <a:ea typeface="Cambria"/>
              <a:cs typeface="Cambria"/>
            </a:rPr>
            <a:t> </a:t>
          </a:r>
          <a:r>
            <a:rPr lang="id-ID" sz="1100">
              <a:effectLst/>
              <a:latin typeface="Times New Roman"/>
              <a:ea typeface="Cambria"/>
              <a:cs typeface="Cambria"/>
            </a:rPr>
            <a:t>	</a:t>
          </a:r>
          <a:endParaRPr lang="en-US" sz="1100">
            <a:effectLst/>
            <a:latin typeface="Cambria"/>
            <a:ea typeface="Cambria"/>
            <a:cs typeface="Cambria"/>
          </a:endParaRPr>
        </a:p>
        <a:p>
          <a:pPr>
            <a:spcBef>
              <a:spcPts val="110"/>
            </a:spcBef>
            <a:spcAft>
              <a:spcPts val="0"/>
            </a:spcAft>
            <a:tabLst>
              <a:tab pos="1739265" algn="l"/>
              <a:tab pos="2519680" algn="l"/>
            </a:tabLst>
          </a:pPr>
          <a:r>
            <a:rPr lang="id-ID" sz="1000">
              <a:effectLst/>
              <a:latin typeface="Cambria"/>
              <a:ea typeface="Cambria"/>
              <a:cs typeface="Cambria"/>
            </a:rPr>
            <a:t>Spesifikasi</a:t>
          </a:r>
          <a:r>
            <a:rPr lang="id-ID" sz="1000" spc="145">
              <a:effectLst/>
              <a:latin typeface="Cambria"/>
              <a:ea typeface="Cambria"/>
              <a:cs typeface="Cambria"/>
            </a:rPr>
            <a:t> </a:t>
          </a:r>
          <a:r>
            <a:rPr lang="id-ID" sz="1000">
              <a:effectLst/>
              <a:latin typeface="Cambria"/>
              <a:ea typeface="Cambria"/>
              <a:cs typeface="Cambria"/>
            </a:rPr>
            <a:t>Nama</a:t>
          </a:r>
          <a:r>
            <a:rPr lang="id-ID" sz="1000" spc="175">
              <a:effectLst/>
              <a:latin typeface="Cambria"/>
              <a:ea typeface="Cambria"/>
              <a:cs typeface="Cambria"/>
            </a:rPr>
            <a:t> </a:t>
          </a:r>
          <a:r>
            <a:rPr lang="id-ID" sz="1000" spc="-10">
              <a:effectLst/>
              <a:latin typeface="Cambria"/>
              <a:ea typeface="Cambria"/>
              <a:cs typeface="Cambria"/>
            </a:rPr>
            <a:t>Barang</a:t>
          </a:r>
          <a:r>
            <a:rPr lang="id-ID" sz="1000">
              <a:effectLst/>
              <a:latin typeface="Cambria"/>
              <a:ea typeface="Cambria"/>
              <a:cs typeface="Cambria"/>
            </a:rPr>
            <a:t>	</a:t>
          </a:r>
          <a:r>
            <a:rPr lang="id-ID" sz="1100" spc="-50">
              <a:effectLst/>
              <a:latin typeface="Cambria"/>
              <a:ea typeface="Cambria"/>
              <a:cs typeface="Cambria"/>
            </a:rPr>
            <a:t>:</a:t>
          </a:r>
          <a:r>
            <a:rPr lang="en-US" sz="1100" spc="-50">
              <a:effectLst/>
              <a:latin typeface="Cambria"/>
              <a:ea typeface="Cambria"/>
              <a:cs typeface="Cambria"/>
            </a:rPr>
            <a:t>  </a:t>
          </a:r>
        </a:p>
        <a:p>
          <a:pPr>
            <a:spcBef>
              <a:spcPts val="110"/>
            </a:spcBef>
            <a:spcAft>
              <a:spcPts val="0"/>
            </a:spcAft>
            <a:tabLst>
              <a:tab pos="1739265" algn="l"/>
              <a:tab pos="2519680" algn="l"/>
            </a:tabLst>
          </a:pPr>
          <a:r>
            <a:rPr lang="id-ID" sz="1100">
              <a:effectLst/>
              <a:latin typeface="Times New Roman"/>
              <a:ea typeface="Cambria"/>
              <a:cs typeface="Cambria"/>
            </a:rPr>
            <a:t>	</a:t>
          </a:r>
          <a:endParaRPr lang="en-US" sz="1100">
            <a:effectLst/>
            <a:latin typeface="Cambria"/>
            <a:ea typeface="Cambria"/>
            <a:cs typeface="Cambri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15323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675CB-60C6-47AB-90E8-8AC5C87A1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7548" cy="12539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0</xdr:rowOff>
    </xdr:from>
    <xdr:to>
      <xdr:col>0</xdr:col>
      <xdr:colOff>228600</xdr:colOff>
      <xdr:row>3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6AFDD72-4A13-413A-B2D5-9220C2618694}"/>
            </a:ext>
          </a:extLst>
        </xdr:cNvPr>
        <xdr:cNvGrpSpPr>
          <a:grpSpLocks/>
        </xdr:cNvGrpSpPr>
      </xdr:nvGrpSpPr>
      <xdr:grpSpPr bwMode="auto">
        <a:xfrm>
          <a:off x="190500" y="428625"/>
          <a:ext cx="38100" cy="28575"/>
          <a:chOff x="0" y="0"/>
          <a:chExt cx="42545" cy="42545"/>
        </a:xfrm>
      </xdr:grpSpPr>
      <xdr:sp macro="" textlink="">
        <xdr:nvSpPr>
          <xdr:cNvPr id="3" name="Graphic 609">
            <a:extLst>
              <a:ext uri="{FF2B5EF4-FFF2-40B4-BE49-F238E27FC236}">
                <a16:creationId xmlns:a16="http://schemas.microsoft.com/office/drawing/2014/main" id="{3916ED8E-1F2F-2F8B-B74A-258BF5461790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Graphic 610">
            <a:extLst>
              <a:ext uri="{FF2B5EF4-FFF2-40B4-BE49-F238E27FC236}">
                <a16:creationId xmlns:a16="http://schemas.microsoft.com/office/drawing/2014/main" id="{77470073-B539-1CB8-9FD5-EEF1E058F98A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Graphic 611">
            <a:extLst>
              <a:ext uri="{FF2B5EF4-FFF2-40B4-BE49-F238E27FC236}">
                <a16:creationId xmlns:a16="http://schemas.microsoft.com/office/drawing/2014/main" id="{8D6B8A9C-4505-AA62-AC66-8EF25EFC6D36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Graphic 612">
            <a:extLst>
              <a:ext uri="{FF2B5EF4-FFF2-40B4-BE49-F238E27FC236}">
                <a16:creationId xmlns:a16="http://schemas.microsoft.com/office/drawing/2014/main" id="{97F2620D-A395-DD9D-CAC3-89C570571374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Graphic 613">
            <a:extLst>
              <a:ext uri="{FF2B5EF4-FFF2-40B4-BE49-F238E27FC236}">
                <a16:creationId xmlns:a16="http://schemas.microsoft.com/office/drawing/2014/main" id="{44ECCB88-FE16-F416-2AE5-4C1CB8690F7B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Graphic 614">
            <a:extLst>
              <a:ext uri="{FF2B5EF4-FFF2-40B4-BE49-F238E27FC236}">
                <a16:creationId xmlns:a16="http://schemas.microsoft.com/office/drawing/2014/main" id="{1DE9C746-A0FA-42AC-9047-262876D6D7ED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Graphic 615">
            <a:extLst>
              <a:ext uri="{FF2B5EF4-FFF2-40B4-BE49-F238E27FC236}">
                <a16:creationId xmlns:a16="http://schemas.microsoft.com/office/drawing/2014/main" id="{E0B726C6-372C-4922-554D-238DE8D432CF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Graphic 616">
            <a:extLst>
              <a:ext uri="{FF2B5EF4-FFF2-40B4-BE49-F238E27FC236}">
                <a16:creationId xmlns:a16="http://schemas.microsoft.com/office/drawing/2014/main" id="{73A2FFF0-5942-5F97-7EE8-615853E6AEA4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" name="Graphic 617">
            <a:extLst>
              <a:ext uri="{FF2B5EF4-FFF2-40B4-BE49-F238E27FC236}">
                <a16:creationId xmlns:a16="http://schemas.microsoft.com/office/drawing/2014/main" id="{B3AE77C4-4660-6CB8-63A0-96C329E792F0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Graphic 618">
            <a:extLst>
              <a:ext uri="{FF2B5EF4-FFF2-40B4-BE49-F238E27FC236}">
                <a16:creationId xmlns:a16="http://schemas.microsoft.com/office/drawing/2014/main" id="{E611CB74-9ECD-98F0-3841-615C96D09458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" name="Graphic 619">
            <a:extLst>
              <a:ext uri="{FF2B5EF4-FFF2-40B4-BE49-F238E27FC236}">
                <a16:creationId xmlns:a16="http://schemas.microsoft.com/office/drawing/2014/main" id="{11A63E70-41B5-4F06-94A7-E3BE1A617D27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" name="Graphic 620">
            <a:extLst>
              <a:ext uri="{FF2B5EF4-FFF2-40B4-BE49-F238E27FC236}">
                <a16:creationId xmlns:a16="http://schemas.microsoft.com/office/drawing/2014/main" id="{6F239481-86FC-E368-165C-50E7142A361D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" name="Graphic 621">
            <a:extLst>
              <a:ext uri="{FF2B5EF4-FFF2-40B4-BE49-F238E27FC236}">
                <a16:creationId xmlns:a16="http://schemas.microsoft.com/office/drawing/2014/main" id="{3B72B280-6BD2-5506-8B2F-D39BED87CE63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Graphic 622">
            <a:extLst>
              <a:ext uri="{FF2B5EF4-FFF2-40B4-BE49-F238E27FC236}">
                <a16:creationId xmlns:a16="http://schemas.microsoft.com/office/drawing/2014/main" id="{5DF2AE85-7538-AF8C-33D8-4F45296BD228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7" name="Graphic 623">
            <a:extLst>
              <a:ext uri="{FF2B5EF4-FFF2-40B4-BE49-F238E27FC236}">
                <a16:creationId xmlns:a16="http://schemas.microsoft.com/office/drawing/2014/main" id="{E03EFB83-C623-A7D3-784E-C3FA4FE442FB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" name="Graphic 624">
            <a:extLst>
              <a:ext uri="{FF2B5EF4-FFF2-40B4-BE49-F238E27FC236}">
                <a16:creationId xmlns:a16="http://schemas.microsoft.com/office/drawing/2014/main" id="{06D1AF0E-BFF5-25D0-5F71-A47A02E3CCB4}"/>
              </a:ext>
            </a:extLst>
          </xdr:cNvPr>
          <xdr:cNvSpPr>
            <a:spLocks/>
          </xdr:cNvSpPr>
        </xdr:nvSpPr>
        <xdr:spPr bwMode="auto">
          <a:xfrm>
            <a:off x="-8" y="32908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711 h 9525"/>
              <a:gd name="T6" fmla="*/ 0 w 9525"/>
              <a:gd name="T7" fmla="*/ 9410 h 9525"/>
              <a:gd name="T8" fmla="*/ 4699 w 9525"/>
              <a:gd name="T9" fmla="*/ 9410 h 9525"/>
              <a:gd name="T10" fmla="*/ 4699 w 9525"/>
              <a:gd name="T11" fmla="*/ 4711 h 9525"/>
              <a:gd name="T12" fmla="*/ 9398 w 9525"/>
              <a:gd name="T13" fmla="*/ 4711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711"/>
                </a:lnTo>
                <a:lnTo>
                  <a:pt x="0" y="9410"/>
                </a:lnTo>
                <a:lnTo>
                  <a:pt x="4699" y="9410"/>
                </a:lnTo>
                <a:lnTo>
                  <a:pt x="4699" y="4711"/>
                </a:lnTo>
                <a:lnTo>
                  <a:pt x="9398" y="4711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190500</xdr:colOff>
      <xdr:row>3</xdr:row>
      <xdr:rowOff>123825</xdr:rowOff>
    </xdr:from>
    <xdr:to>
      <xdr:col>0</xdr:col>
      <xdr:colOff>228600</xdr:colOff>
      <xdr:row>4</xdr:row>
      <xdr:rowOff>9525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E7407BC-69F4-4543-B56B-C2FAAB24FFA7}"/>
            </a:ext>
          </a:extLst>
        </xdr:cNvPr>
        <xdr:cNvGrpSpPr>
          <a:grpSpLocks/>
        </xdr:cNvGrpSpPr>
      </xdr:nvGrpSpPr>
      <xdr:grpSpPr bwMode="auto">
        <a:xfrm>
          <a:off x="190500" y="552450"/>
          <a:ext cx="38100" cy="28575"/>
          <a:chOff x="0" y="0"/>
          <a:chExt cx="42545" cy="42545"/>
        </a:xfrm>
      </xdr:grpSpPr>
      <xdr:sp macro="" textlink="">
        <xdr:nvSpPr>
          <xdr:cNvPr id="20" name="Graphic 626">
            <a:extLst>
              <a:ext uri="{FF2B5EF4-FFF2-40B4-BE49-F238E27FC236}">
                <a16:creationId xmlns:a16="http://schemas.microsoft.com/office/drawing/2014/main" id="{BFA4A275-66FB-1AC4-4FA1-CBF7C4208495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" name="Graphic 627">
            <a:extLst>
              <a:ext uri="{FF2B5EF4-FFF2-40B4-BE49-F238E27FC236}">
                <a16:creationId xmlns:a16="http://schemas.microsoft.com/office/drawing/2014/main" id="{DADE3853-5D81-15CA-8ECC-84F9AD262C03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2" name="Graphic 628">
            <a:extLst>
              <a:ext uri="{FF2B5EF4-FFF2-40B4-BE49-F238E27FC236}">
                <a16:creationId xmlns:a16="http://schemas.microsoft.com/office/drawing/2014/main" id="{D9D66664-68C1-144A-E649-AC1A671CF877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Graphic 629">
            <a:extLst>
              <a:ext uri="{FF2B5EF4-FFF2-40B4-BE49-F238E27FC236}">
                <a16:creationId xmlns:a16="http://schemas.microsoft.com/office/drawing/2014/main" id="{AD78F5FE-5D84-3537-2FF6-EF04D6E28F55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4" name="Graphic 630">
            <a:extLst>
              <a:ext uri="{FF2B5EF4-FFF2-40B4-BE49-F238E27FC236}">
                <a16:creationId xmlns:a16="http://schemas.microsoft.com/office/drawing/2014/main" id="{2E89B355-B16F-66C7-A469-C2DA954CA588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Graphic 631">
            <a:extLst>
              <a:ext uri="{FF2B5EF4-FFF2-40B4-BE49-F238E27FC236}">
                <a16:creationId xmlns:a16="http://schemas.microsoft.com/office/drawing/2014/main" id="{6261B04D-A1F0-BF61-8970-E86C1C1A859A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Graphic 632">
            <a:extLst>
              <a:ext uri="{FF2B5EF4-FFF2-40B4-BE49-F238E27FC236}">
                <a16:creationId xmlns:a16="http://schemas.microsoft.com/office/drawing/2014/main" id="{5045F001-9D24-4657-B416-E0E6756198A0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" name="Graphic 633">
            <a:extLst>
              <a:ext uri="{FF2B5EF4-FFF2-40B4-BE49-F238E27FC236}">
                <a16:creationId xmlns:a16="http://schemas.microsoft.com/office/drawing/2014/main" id="{83C063A1-5E65-8E16-1260-6EB17BD700F4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" name="Graphic 634">
            <a:extLst>
              <a:ext uri="{FF2B5EF4-FFF2-40B4-BE49-F238E27FC236}">
                <a16:creationId xmlns:a16="http://schemas.microsoft.com/office/drawing/2014/main" id="{28CF1EDB-9754-A559-C923-6DDD6B7E027B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Graphic 635">
            <a:extLst>
              <a:ext uri="{FF2B5EF4-FFF2-40B4-BE49-F238E27FC236}">
                <a16:creationId xmlns:a16="http://schemas.microsoft.com/office/drawing/2014/main" id="{72033E3C-F50D-078B-6E0C-9B628BAECA33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" name="Graphic 636">
            <a:extLst>
              <a:ext uri="{FF2B5EF4-FFF2-40B4-BE49-F238E27FC236}">
                <a16:creationId xmlns:a16="http://schemas.microsoft.com/office/drawing/2014/main" id="{A9B0456D-B687-EBB5-D7EF-05FE93E59839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Graphic 637">
            <a:extLst>
              <a:ext uri="{FF2B5EF4-FFF2-40B4-BE49-F238E27FC236}">
                <a16:creationId xmlns:a16="http://schemas.microsoft.com/office/drawing/2014/main" id="{8CF791FB-4451-E99C-785D-4BA539249D1A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" name="Graphic 638">
            <a:extLst>
              <a:ext uri="{FF2B5EF4-FFF2-40B4-BE49-F238E27FC236}">
                <a16:creationId xmlns:a16="http://schemas.microsoft.com/office/drawing/2014/main" id="{53884C98-5DC4-CB41-22B4-4CD03E18D902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Graphic 639">
            <a:extLst>
              <a:ext uri="{FF2B5EF4-FFF2-40B4-BE49-F238E27FC236}">
                <a16:creationId xmlns:a16="http://schemas.microsoft.com/office/drawing/2014/main" id="{C4406A5B-631B-126B-2E9C-81F84EB7228C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" name="Graphic 640">
            <a:extLst>
              <a:ext uri="{FF2B5EF4-FFF2-40B4-BE49-F238E27FC236}">
                <a16:creationId xmlns:a16="http://schemas.microsoft.com/office/drawing/2014/main" id="{D3CA7855-AB72-28CF-781A-F56E7C75E240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" name="Graphic 641">
            <a:extLst>
              <a:ext uri="{FF2B5EF4-FFF2-40B4-BE49-F238E27FC236}">
                <a16:creationId xmlns:a16="http://schemas.microsoft.com/office/drawing/2014/main" id="{EFC08A8A-6052-9359-AB2C-477087D9B2B1}"/>
              </a:ext>
            </a:extLst>
          </xdr:cNvPr>
          <xdr:cNvSpPr>
            <a:spLocks/>
          </xdr:cNvSpPr>
        </xdr:nvSpPr>
        <xdr:spPr bwMode="auto">
          <a:xfrm>
            <a:off x="-8" y="32912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699 h 9525"/>
              <a:gd name="T6" fmla="*/ 0 w 9525"/>
              <a:gd name="T7" fmla="*/ 9398 h 9525"/>
              <a:gd name="T8" fmla="*/ 4699 w 9525"/>
              <a:gd name="T9" fmla="*/ 9398 h 9525"/>
              <a:gd name="T10" fmla="*/ 4699 w 9525"/>
              <a:gd name="T11" fmla="*/ 4699 h 9525"/>
              <a:gd name="T12" fmla="*/ 9398 w 9525"/>
              <a:gd name="T13" fmla="*/ 4699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699"/>
                </a:lnTo>
                <a:lnTo>
                  <a:pt x="0" y="9398"/>
                </a:lnTo>
                <a:lnTo>
                  <a:pt x="4699" y="9398"/>
                </a:lnTo>
                <a:lnTo>
                  <a:pt x="4699" y="4699"/>
                </a:lnTo>
                <a:lnTo>
                  <a:pt x="9398" y="4699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190500</xdr:colOff>
      <xdr:row>4</xdr:row>
      <xdr:rowOff>133350</xdr:rowOff>
    </xdr:from>
    <xdr:to>
      <xdr:col>0</xdr:col>
      <xdr:colOff>228600</xdr:colOff>
      <xdr:row>5</xdr:row>
      <xdr:rowOff>9525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2CC8C49-0017-415F-A2B9-F57FB92BE023}"/>
            </a:ext>
          </a:extLst>
        </xdr:cNvPr>
        <xdr:cNvGrpSpPr>
          <a:grpSpLocks/>
        </xdr:cNvGrpSpPr>
      </xdr:nvGrpSpPr>
      <xdr:grpSpPr bwMode="auto">
        <a:xfrm>
          <a:off x="190500" y="704850"/>
          <a:ext cx="38100" cy="19050"/>
          <a:chOff x="0" y="0"/>
          <a:chExt cx="42545" cy="42545"/>
        </a:xfrm>
      </xdr:grpSpPr>
      <xdr:sp macro="" textlink="">
        <xdr:nvSpPr>
          <xdr:cNvPr id="37" name="Graphic 643">
            <a:extLst>
              <a:ext uri="{FF2B5EF4-FFF2-40B4-BE49-F238E27FC236}">
                <a16:creationId xmlns:a16="http://schemas.microsoft.com/office/drawing/2014/main" id="{2BAC4A6D-E6C8-41AD-88EE-663ACDEB1F7C}"/>
              </a:ext>
            </a:extLst>
          </xdr:cNvPr>
          <xdr:cNvSpPr>
            <a:spLocks/>
          </xdr:cNvSpPr>
        </xdr:nvSpPr>
        <xdr:spPr bwMode="auto">
          <a:xfrm>
            <a:off x="2350" y="2350"/>
            <a:ext cx="38100" cy="1270"/>
          </a:xfrm>
          <a:custGeom>
            <a:avLst/>
            <a:gdLst>
              <a:gd name="T0" fmla="*/ 0 w 38100"/>
              <a:gd name="T1" fmla="*/ 0 h 1270"/>
              <a:gd name="T2" fmla="*/ 37605 w 3810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8100" h="1270">
                <a:moveTo>
                  <a:pt x="0" y="0"/>
                </a:moveTo>
                <a:lnTo>
                  <a:pt x="37605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" name="Graphic 644">
            <a:extLst>
              <a:ext uri="{FF2B5EF4-FFF2-40B4-BE49-F238E27FC236}">
                <a16:creationId xmlns:a16="http://schemas.microsoft.com/office/drawing/2014/main" id="{E0F32C01-A27A-AE21-8259-5A21CDD9159F}"/>
              </a:ext>
            </a:extLst>
          </xdr:cNvPr>
          <xdr:cNvSpPr>
            <a:spLocks/>
          </xdr:cNvSpPr>
        </xdr:nvSpPr>
        <xdr:spPr bwMode="auto">
          <a:xfrm>
            <a:off x="0" y="0"/>
            <a:ext cx="42545" cy="5080"/>
          </a:xfrm>
          <a:custGeom>
            <a:avLst/>
            <a:gdLst>
              <a:gd name="T0" fmla="*/ 42306 w 42545"/>
              <a:gd name="T1" fmla="*/ 0 h 5080"/>
              <a:gd name="T2" fmla="*/ 0 w 42545"/>
              <a:gd name="T3" fmla="*/ 0 h 5080"/>
              <a:gd name="T4" fmla="*/ 0 w 42545"/>
              <a:gd name="T5" fmla="*/ 4701 h 5080"/>
              <a:gd name="T6" fmla="*/ 42306 w 42545"/>
              <a:gd name="T7" fmla="*/ 4701 h 5080"/>
              <a:gd name="T8" fmla="*/ 42306 w 4254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42545" h="5080">
                <a:moveTo>
                  <a:pt x="42306" y="0"/>
                </a:moveTo>
                <a:lnTo>
                  <a:pt x="0" y="0"/>
                </a:lnTo>
                <a:lnTo>
                  <a:pt x="0" y="4701"/>
                </a:lnTo>
                <a:lnTo>
                  <a:pt x="42306" y="4701"/>
                </a:lnTo>
                <a:lnTo>
                  <a:pt x="42306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9" name="Graphic 645">
            <a:extLst>
              <a:ext uri="{FF2B5EF4-FFF2-40B4-BE49-F238E27FC236}">
                <a16:creationId xmlns:a16="http://schemas.microsoft.com/office/drawing/2014/main" id="{5610B34C-6E57-9135-B298-9D17B942D661}"/>
              </a:ext>
            </a:extLst>
          </xdr:cNvPr>
          <xdr:cNvSpPr>
            <a:spLocks/>
          </xdr:cNvSpPr>
        </xdr:nvSpPr>
        <xdr:spPr bwMode="auto">
          <a:xfrm>
            <a:off x="2350" y="7051"/>
            <a:ext cx="33020" cy="1270"/>
          </a:xfrm>
          <a:custGeom>
            <a:avLst/>
            <a:gdLst>
              <a:gd name="T0" fmla="*/ 0 w 33020"/>
              <a:gd name="T1" fmla="*/ 0 h 1270"/>
              <a:gd name="T2" fmla="*/ 32904 w 3302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33020" h="1270">
                <a:moveTo>
                  <a:pt x="0" y="0"/>
                </a:moveTo>
                <a:lnTo>
                  <a:pt x="329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Graphic 646">
            <a:extLst>
              <a:ext uri="{FF2B5EF4-FFF2-40B4-BE49-F238E27FC236}">
                <a16:creationId xmlns:a16="http://schemas.microsoft.com/office/drawing/2014/main" id="{1FB1B4E4-F4DE-DD3C-FBC7-656E862F3CE4}"/>
              </a:ext>
            </a:extLst>
          </xdr:cNvPr>
          <xdr:cNvSpPr>
            <a:spLocks/>
          </xdr:cNvSpPr>
        </xdr:nvSpPr>
        <xdr:spPr bwMode="auto">
          <a:xfrm>
            <a:off x="0" y="4701"/>
            <a:ext cx="38100" cy="5080"/>
          </a:xfrm>
          <a:custGeom>
            <a:avLst/>
            <a:gdLst>
              <a:gd name="T0" fmla="*/ 37605 w 38100"/>
              <a:gd name="T1" fmla="*/ 0 h 5080"/>
              <a:gd name="T2" fmla="*/ 0 w 38100"/>
              <a:gd name="T3" fmla="*/ 0 h 5080"/>
              <a:gd name="T4" fmla="*/ 0 w 38100"/>
              <a:gd name="T5" fmla="*/ 4701 h 5080"/>
              <a:gd name="T6" fmla="*/ 37605 w 38100"/>
              <a:gd name="T7" fmla="*/ 4701 h 5080"/>
              <a:gd name="T8" fmla="*/ 37605 w 3810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8100" h="5080">
                <a:moveTo>
                  <a:pt x="37605" y="0"/>
                </a:moveTo>
                <a:lnTo>
                  <a:pt x="0" y="0"/>
                </a:lnTo>
                <a:lnTo>
                  <a:pt x="0" y="4701"/>
                </a:lnTo>
                <a:lnTo>
                  <a:pt x="37605" y="4701"/>
                </a:lnTo>
                <a:lnTo>
                  <a:pt x="37605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" name="Graphic 647">
            <a:extLst>
              <a:ext uri="{FF2B5EF4-FFF2-40B4-BE49-F238E27FC236}">
                <a16:creationId xmlns:a16="http://schemas.microsoft.com/office/drawing/2014/main" id="{61F14DEF-3ADF-D389-CEA2-667C35B6170E}"/>
              </a:ext>
            </a:extLst>
          </xdr:cNvPr>
          <xdr:cNvSpPr>
            <a:spLocks/>
          </xdr:cNvSpPr>
        </xdr:nvSpPr>
        <xdr:spPr bwMode="auto">
          <a:xfrm>
            <a:off x="2350" y="11752"/>
            <a:ext cx="28575" cy="1270"/>
          </a:xfrm>
          <a:custGeom>
            <a:avLst/>
            <a:gdLst>
              <a:gd name="T0" fmla="*/ 0 w 28575"/>
              <a:gd name="T1" fmla="*/ 0 h 1270"/>
              <a:gd name="T2" fmla="*/ 28204 w 2857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8575" h="1270">
                <a:moveTo>
                  <a:pt x="0" y="0"/>
                </a:moveTo>
                <a:lnTo>
                  <a:pt x="28204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Graphic 648">
            <a:extLst>
              <a:ext uri="{FF2B5EF4-FFF2-40B4-BE49-F238E27FC236}">
                <a16:creationId xmlns:a16="http://schemas.microsoft.com/office/drawing/2014/main" id="{65D45783-74E1-24FE-E25C-6A2F6C128910}"/>
              </a:ext>
            </a:extLst>
          </xdr:cNvPr>
          <xdr:cNvSpPr>
            <a:spLocks/>
          </xdr:cNvSpPr>
        </xdr:nvSpPr>
        <xdr:spPr bwMode="auto">
          <a:xfrm>
            <a:off x="0" y="9402"/>
            <a:ext cx="33020" cy="5080"/>
          </a:xfrm>
          <a:custGeom>
            <a:avLst/>
            <a:gdLst>
              <a:gd name="T0" fmla="*/ 32904 w 33020"/>
              <a:gd name="T1" fmla="*/ 0 h 5080"/>
              <a:gd name="T2" fmla="*/ 0 w 33020"/>
              <a:gd name="T3" fmla="*/ 0 h 5080"/>
              <a:gd name="T4" fmla="*/ 0 w 33020"/>
              <a:gd name="T5" fmla="*/ 4701 h 5080"/>
              <a:gd name="T6" fmla="*/ 32904 w 33020"/>
              <a:gd name="T7" fmla="*/ 4701 h 5080"/>
              <a:gd name="T8" fmla="*/ 32904 w 3302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33020" h="5080">
                <a:moveTo>
                  <a:pt x="32904" y="0"/>
                </a:moveTo>
                <a:lnTo>
                  <a:pt x="0" y="0"/>
                </a:lnTo>
                <a:lnTo>
                  <a:pt x="0" y="4701"/>
                </a:lnTo>
                <a:lnTo>
                  <a:pt x="32904" y="4701"/>
                </a:lnTo>
                <a:lnTo>
                  <a:pt x="329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" name="Graphic 649">
            <a:extLst>
              <a:ext uri="{FF2B5EF4-FFF2-40B4-BE49-F238E27FC236}">
                <a16:creationId xmlns:a16="http://schemas.microsoft.com/office/drawing/2014/main" id="{20E87B9E-2B91-622A-3D50-C18B5B501E8A}"/>
              </a:ext>
            </a:extLst>
          </xdr:cNvPr>
          <xdr:cNvSpPr>
            <a:spLocks/>
          </xdr:cNvSpPr>
        </xdr:nvSpPr>
        <xdr:spPr bwMode="auto">
          <a:xfrm>
            <a:off x="2350" y="16453"/>
            <a:ext cx="24130" cy="1270"/>
          </a:xfrm>
          <a:custGeom>
            <a:avLst/>
            <a:gdLst>
              <a:gd name="T0" fmla="*/ 0 w 24130"/>
              <a:gd name="T1" fmla="*/ 0 h 1270"/>
              <a:gd name="T2" fmla="*/ 23503 w 2413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24130" h="1270">
                <a:moveTo>
                  <a:pt x="0" y="0"/>
                </a:moveTo>
                <a:lnTo>
                  <a:pt x="23503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Graphic 650">
            <a:extLst>
              <a:ext uri="{FF2B5EF4-FFF2-40B4-BE49-F238E27FC236}">
                <a16:creationId xmlns:a16="http://schemas.microsoft.com/office/drawing/2014/main" id="{704791AF-DB51-582A-40AD-901DE45CE0E6}"/>
              </a:ext>
            </a:extLst>
          </xdr:cNvPr>
          <xdr:cNvSpPr>
            <a:spLocks/>
          </xdr:cNvSpPr>
        </xdr:nvSpPr>
        <xdr:spPr bwMode="auto">
          <a:xfrm>
            <a:off x="0" y="14103"/>
            <a:ext cx="28575" cy="5080"/>
          </a:xfrm>
          <a:custGeom>
            <a:avLst/>
            <a:gdLst>
              <a:gd name="T0" fmla="*/ 28204 w 28575"/>
              <a:gd name="T1" fmla="*/ 0 h 5080"/>
              <a:gd name="T2" fmla="*/ 0 w 28575"/>
              <a:gd name="T3" fmla="*/ 0 h 5080"/>
              <a:gd name="T4" fmla="*/ 0 w 28575"/>
              <a:gd name="T5" fmla="*/ 4701 h 5080"/>
              <a:gd name="T6" fmla="*/ 28204 w 28575"/>
              <a:gd name="T7" fmla="*/ 4701 h 5080"/>
              <a:gd name="T8" fmla="*/ 28204 w 28575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8575" h="5080">
                <a:moveTo>
                  <a:pt x="28204" y="0"/>
                </a:moveTo>
                <a:lnTo>
                  <a:pt x="0" y="0"/>
                </a:lnTo>
                <a:lnTo>
                  <a:pt x="0" y="4701"/>
                </a:lnTo>
                <a:lnTo>
                  <a:pt x="28204" y="4701"/>
                </a:lnTo>
                <a:lnTo>
                  <a:pt x="28204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" name="Graphic 651">
            <a:extLst>
              <a:ext uri="{FF2B5EF4-FFF2-40B4-BE49-F238E27FC236}">
                <a16:creationId xmlns:a16="http://schemas.microsoft.com/office/drawing/2014/main" id="{35EAAEB9-FF1F-DC1A-32A1-7A6834B37685}"/>
              </a:ext>
            </a:extLst>
          </xdr:cNvPr>
          <xdr:cNvSpPr>
            <a:spLocks/>
          </xdr:cNvSpPr>
        </xdr:nvSpPr>
        <xdr:spPr bwMode="auto">
          <a:xfrm>
            <a:off x="2350" y="21154"/>
            <a:ext cx="19050" cy="1270"/>
          </a:xfrm>
          <a:custGeom>
            <a:avLst/>
            <a:gdLst>
              <a:gd name="T0" fmla="*/ 0 w 19050"/>
              <a:gd name="T1" fmla="*/ 0 h 1270"/>
              <a:gd name="T2" fmla="*/ 18802 w 1905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9050" h="1270">
                <a:moveTo>
                  <a:pt x="0" y="0"/>
                </a:moveTo>
                <a:lnTo>
                  <a:pt x="188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Graphic 652">
            <a:extLst>
              <a:ext uri="{FF2B5EF4-FFF2-40B4-BE49-F238E27FC236}">
                <a16:creationId xmlns:a16="http://schemas.microsoft.com/office/drawing/2014/main" id="{7AAC8D83-AE6C-3839-7E58-F115B2F44000}"/>
              </a:ext>
            </a:extLst>
          </xdr:cNvPr>
          <xdr:cNvSpPr>
            <a:spLocks/>
          </xdr:cNvSpPr>
        </xdr:nvSpPr>
        <xdr:spPr bwMode="auto">
          <a:xfrm>
            <a:off x="0" y="18804"/>
            <a:ext cx="24130" cy="5080"/>
          </a:xfrm>
          <a:custGeom>
            <a:avLst/>
            <a:gdLst>
              <a:gd name="T0" fmla="*/ 23503 w 24130"/>
              <a:gd name="T1" fmla="*/ 0 h 5080"/>
              <a:gd name="T2" fmla="*/ 0 w 24130"/>
              <a:gd name="T3" fmla="*/ 0 h 5080"/>
              <a:gd name="T4" fmla="*/ 0 w 24130"/>
              <a:gd name="T5" fmla="*/ 4701 h 5080"/>
              <a:gd name="T6" fmla="*/ 23503 w 24130"/>
              <a:gd name="T7" fmla="*/ 4701 h 5080"/>
              <a:gd name="T8" fmla="*/ 23503 w 2413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4130" h="5080">
                <a:moveTo>
                  <a:pt x="23503" y="0"/>
                </a:moveTo>
                <a:lnTo>
                  <a:pt x="0" y="0"/>
                </a:lnTo>
                <a:lnTo>
                  <a:pt x="0" y="4701"/>
                </a:lnTo>
                <a:lnTo>
                  <a:pt x="23503" y="4701"/>
                </a:lnTo>
                <a:lnTo>
                  <a:pt x="23503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7" name="Graphic 653">
            <a:extLst>
              <a:ext uri="{FF2B5EF4-FFF2-40B4-BE49-F238E27FC236}">
                <a16:creationId xmlns:a16="http://schemas.microsoft.com/office/drawing/2014/main" id="{561627D8-DDDC-275F-B801-D58EA0A10451}"/>
              </a:ext>
            </a:extLst>
          </xdr:cNvPr>
          <xdr:cNvSpPr>
            <a:spLocks/>
          </xdr:cNvSpPr>
        </xdr:nvSpPr>
        <xdr:spPr bwMode="auto">
          <a:xfrm>
            <a:off x="2350" y="25856"/>
            <a:ext cx="14604" cy="1270"/>
          </a:xfrm>
          <a:custGeom>
            <a:avLst/>
            <a:gdLst>
              <a:gd name="T0" fmla="*/ 0 w 14604"/>
              <a:gd name="T1" fmla="*/ 0 h 1270"/>
              <a:gd name="T2" fmla="*/ 14102 w 14604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14604" h="1270">
                <a:moveTo>
                  <a:pt x="0" y="0"/>
                </a:moveTo>
                <a:lnTo>
                  <a:pt x="14102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Graphic 654">
            <a:extLst>
              <a:ext uri="{FF2B5EF4-FFF2-40B4-BE49-F238E27FC236}">
                <a16:creationId xmlns:a16="http://schemas.microsoft.com/office/drawing/2014/main" id="{3135D24E-3261-B142-91BA-74F4FB8DCE66}"/>
              </a:ext>
            </a:extLst>
          </xdr:cNvPr>
          <xdr:cNvSpPr>
            <a:spLocks/>
          </xdr:cNvSpPr>
        </xdr:nvSpPr>
        <xdr:spPr bwMode="auto">
          <a:xfrm>
            <a:off x="0" y="23505"/>
            <a:ext cx="19050" cy="5080"/>
          </a:xfrm>
          <a:custGeom>
            <a:avLst/>
            <a:gdLst>
              <a:gd name="T0" fmla="*/ 18802 w 19050"/>
              <a:gd name="T1" fmla="*/ 0 h 5080"/>
              <a:gd name="T2" fmla="*/ 0 w 19050"/>
              <a:gd name="T3" fmla="*/ 0 h 5080"/>
              <a:gd name="T4" fmla="*/ 0 w 19050"/>
              <a:gd name="T5" fmla="*/ 4701 h 5080"/>
              <a:gd name="T6" fmla="*/ 18802 w 19050"/>
              <a:gd name="T7" fmla="*/ 4701 h 5080"/>
              <a:gd name="T8" fmla="*/ 18802 w 19050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9050" h="5080">
                <a:moveTo>
                  <a:pt x="18802" y="0"/>
                </a:moveTo>
                <a:lnTo>
                  <a:pt x="0" y="0"/>
                </a:lnTo>
                <a:lnTo>
                  <a:pt x="0" y="4701"/>
                </a:lnTo>
                <a:lnTo>
                  <a:pt x="18802" y="4701"/>
                </a:lnTo>
                <a:lnTo>
                  <a:pt x="188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9" name="Graphic 655">
            <a:extLst>
              <a:ext uri="{FF2B5EF4-FFF2-40B4-BE49-F238E27FC236}">
                <a16:creationId xmlns:a16="http://schemas.microsoft.com/office/drawing/2014/main" id="{5DDCF3F7-3D64-2330-A953-5903B62609E1}"/>
              </a:ext>
            </a:extLst>
          </xdr:cNvPr>
          <xdr:cNvSpPr>
            <a:spLocks/>
          </xdr:cNvSpPr>
        </xdr:nvSpPr>
        <xdr:spPr bwMode="auto">
          <a:xfrm>
            <a:off x="2350" y="30557"/>
            <a:ext cx="9525" cy="1270"/>
          </a:xfrm>
          <a:custGeom>
            <a:avLst/>
            <a:gdLst>
              <a:gd name="T0" fmla="*/ 0 w 9525"/>
              <a:gd name="T1" fmla="*/ 0 h 1270"/>
              <a:gd name="T2" fmla="*/ 9401 w 9525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9525" h="1270">
                <a:moveTo>
                  <a:pt x="0" y="0"/>
                </a:moveTo>
                <a:lnTo>
                  <a:pt x="9401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Graphic 656">
            <a:extLst>
              <a:ext uri="{FF2B5EF4-FFF2-40B4-BE49-F238E27FC236}">
                <a16:creationId xmlns:a16="http://schemas.microsoft.com/office/drawing/2014/main" id="{86C51D41-F7ED-D6D5-4187-BCD6D10A2045}"/>
              </a:ext>
            </a:extLst>
          </xdr:cNvPr>
          <xdr:cNvSpPr>
            <a:spLocks/>
          </xdr:cNvSpPr>
        </xdr:nvSpPr>
        <xdr:spPr bwMode="auto">
          <a:xfrm>
            <a:off x="0" y="28206"/>
            <a:ext cx="14604" cy="5080"/>
          </a:xfrm>
          <a:custGeom>
            <a:avLst/>
            <a:gdLst>
              <a:gd name="T0" fmla="*/ 14102 w 14604"/>
              <a:gd name="T1" fmla="*/ 0 h 5080"/>
              <a:gd name="T2" fmla="*/ 0 w 14604"/>
              <a:gd name="T3" fmla="*/ 0 h 5080"/>
              <a:gd name="T4" fmla="*/ 0 w 14604"/>
              <a:gd name="T5" fmla="*/ 4701 h 5080"/>
              <a:gd name="T6" fmla="*/ 14102 w 14604"/>
              <a:gd name="T7" fmla="*/ 4701 h 5080"/>
              <a:gd name="T8" fmla="*/ 14102 w 14604"/>
              <a:gd name="T9" fmla="*/ 0 h 508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4604" h="5080">
                <a:moveTo>
                  <a:pt x="14102" y="0"/>
                </a:moveTo>
                <a:lnTo>
                  <a:pt x="0" y="0"/>
                </a:lnTo>
                <a:lnTo>
                  <a:pt x="0" y="4701"/>
                </a:lnTo>
                <a:lnTo>
                  <a:pt x="14102" y="4701"/>
                </a:lnTo>
                <a:lnTo>
                  <a:pt x="14102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" name="Graphic 657">
            <a:extLst>
              <a:ext uri="{FF2B5EF4-FFF2-40B4-BE49-F238E27FC236}">
                <a16:creationId xmlns:a16="http://schemas.microsoft.com/office/drawing/2014/main" id="{2B8B1459-6ABB-8BA2-81CA-D5ED5FAA0C20}"/>
              </a:ext>
            </a:extLst>
          </xdr:cNvPr>
          <xdr:cNvSpPr>
            <a:spLocks/>
          </xdr:cNvSpPr>
        </xdr:nvSpPr>
        <xdr:spPr bwMode="auto">
          <a:xfrm>
            <a:off x="2350" y="35258"/>
            <a:ext cx="5080" cy="1270"/>
          </a:xfrm>
          <a:custGeom>
            <a:avLst/>
            <a:gdLst>
              <a:gd name="T0" fmla="*/ 0 w 5080"/>
              <a:gd name="T1" fmla="*/ 0 h 1270"/>
              <a:gd name="T2" fmla="*/ 4700 w 5080"/>
              <a:gd name="T3" fmla="*/ 0 h 1270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5080" h="1270">
                <a:moveTo>
                  <a:pt x="0" y="0"/>
                </a:moveTo>
                <a:lnTo>
                  <a:pt x="4700" y="0"/>
                </a:lnTo>
              </a:path>
            </a:pathLst>
          </a:custGeom>
          <a:noFill/>
          <a:ln w="4701">
            <a:solidFill>
              <a:srgbClr val="008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Graphic 658">
            <a:extLst>
              <a:ext uri="{FF2B5EF4-FFF2-40B4-BE49-F238E27FC236}">
                <a16:creationId xmlns:a16="http://schemas.microsoft.com/office/drawing/2014/main" id="{B1976B56-D046-E1D6-9481-0F1DF7BFEB1D}"/>
              </a:ext>
            </a:extLst>
          </xdr:cNvPr>
          <xdr:cNvSpPr>
            <a:spLocks/>
          </xdr:cNvSpPr>
        </xdr:nvSpPr>
        <xdr:spPr bwMode="auto">
          <a:xfrm>
            <a:off x="-8" y="32914"/>
            <a:ext cx="9525" cy="9525"/>
          </a:xfrm>
          <a:custGeom>
            <a:avLst/>
            <a:gdLst>
              <a:gd name="T0" fmla="*/ 9398 w 9525"/>
              <a:gd name="T1" fmla="*/ 0 h 9525"/>
              <a:gd name="T2" fmla="*/ 0 w 9525"/>
              <a:gd name="T3" fmla="*/ 0 h 9525"/>
              <a:gd name="T4" fmla="*/ 0 w 9525"/>
              <a:gd name="T5" fmla="*/ 4699 h 9525"/>
              <a:gd name="T6" fmla="*/ 0 w 9525"/>
              <a:gd name="T7" fmla="*/ 9398 h 9525"/>
              <a:gd name="T8" fmla="*/ 4699 w 9525"/>
              <a:gd name="T9" fmla="*/ 9398 h 9525"/>
              <a:gd name="T10" fmla="*/ 4699 w 9525"/>
              <a:gd name="T11" fmla="*/ 4699 h 9525"/>
              <a:gd name="T12" fmla="*/ 9398 w 9525"/>
              <a:gd name="T13" fmla="*/ 4699 h 9525"/>
              <a:gd name="T14" fmla="*/ 9398 w 9525"/>
              <a:gd name="T15" fmla="*/ 0 h 9525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9525" h="9525">
                <a:moveTo>
                  <a:pt x="9398" y="0"/>
                </a:moveTo>
                <a:lnTo>
                  <a:pt x="0" y="0"/>
                </a:lnTo>
                <a:lnTo>
                  <a:pt x="0" y="4699"/>
                </a:lnTo>
                <a:lnTo>
                  <a:pt x="0" y="9398"/>
                </a:lnTo>
                <a:lnTo>
                  <a:pt x="4699" y="9398"/>
                </a:lnTo>
                <a:lnTo>
                  <a:pt x="4699" y="4699"/>
                </a:lnTo>
                <a:lnTo>
                  <a:pt x="9398" y="4699"/>
                </a:lnTo>
                <a:lnTo>
                  <a:pt x="9398" y="0"/>
                </a:lnTo>
                <a:close/>
              </a:path>
            </a:pathLst>
          </a:cu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843998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FA3A0-8930-4F8A-93B8-DA62383FA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7548" cy="12539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485775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ED687-8EE0-46B8-9637-BD4BEA060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91400" cy="12539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1247775</xdr:colOff>
      <xdr:row>6</xdr:row>
      <xdr:rowOff>110906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00E22-94E9-4D6C-A044-CD091971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125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4D76-09BB-4A14-93C4-26462959B019}">
  <dimension ref="A1:AC22"/>
  <sheetViews>
    <sheetView showGridLines="0" workbookViewId="0">
      <selection activeCell="V28" sqref="V28"/>
    </sheetView>
  </sheetViews>
  <sheetFormatPr defaultRowHeight="15" x14ac:dyDescent="0.25"/>
  <sheetData>
    <row r="1" spans="1:29" x14ac:dyDescent="0.25">
      <c r="A1" s="167" t="s">
        <v>191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</row>
    <row r="2" spans="1:29" x14ac:dyDescent="0.2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</row>
    <row r="3" spans="1:29" x14ac:dyDescent="0.25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</row>
    <row r="4" spans="1:29" x14ac:dyDescent="0.25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</row>
    <row r="5" spans="1:29" x14ac:dyDescent="0.25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</row>
    <row r="6" spans="1:29" x14ac:dyDescent="0.2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</row>
    <row r="7" spans="1:29" x14ac:dyDescent="0.25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</row>
    <row r="8" spans="1:29" x14ac:dyDescent="0.25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</row>
    <row r="9" spans="1:29" x14ac:dyDescent="0.25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</row>
    <row r="10" spans="1:29" x14ac:dyDescent="0.25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</row>
    <row r="11" spans="1:29" x14ac:dyDescent="0.25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</row>
    <row r="12" spans="1:29" x14ac:dyDescent="0.25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</row>
    <row r="13" spans="1:29" x14ac:dyDescent="0.25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</row>
    <row r="14" spans="1:29" x14ac:dyDescent="0.25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</row>
    <row r="15" spans="1:29" x14ac:dyDescent="0.25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</row>
    <row r="16" spans="1:29" x14ac:dyDescent="0.25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</row>
    <row r="17" spans="1:29" x14ac:dyDescent="0.25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</row>
    <row r="18" spans="1:29" x14ac:dyDescent="0.25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</row>
    <row r="19" spans="1:29" x14ac:dyDescent="0.25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</row>
    <row r="20" spans="1:29" x14ac:dyDescent="0.25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</row>
    <row r="21" spans="1:29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</row>
    <row r="22" spans="1:29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</row>
  </sheetData>
  <mergeCells count="1">
    <mergeCell ref="A1:AC2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view="pageBreakPreview" zoomScale="152" zoomScaleNormal="100" zoomScaleSheetLayoutView="100" workbookViewId="0">
      <selection activeCell="B10" sqref="B10"/>
    </sheetView>
  </sheetViews>
  <sheetFormatPr defaultRowHeight="15" x14ac:dyDescent="0.25"/>
  <cols>
    <col min="1" max="1" width="4.7109375" customWidth="1"/>
    <col min="3" max="3" width="9.140625" customWidth="1"/>
    <col min="4" max="4" width="14.28515625" customWidth="1"/>
    <col min="5" max="5" width="11.42578125" customWidth="1"/>
    <col min="6" max="6" width="15.85546875" customWidth="1"/>
    <col min="8" max="8" width="23" customWidth="1"/>
    <col min="9" max="9" width="10.7109375" customWidth="1"/>
    <col min="12" max="12" width="15.5703125" customWidth="1"/>
    <col min="13" max="13" width="19" customWidth="1"/>
    <col min="15" max="15" width="12.28515625" customWidth="1"/>
  </cols>
  <sheetData>
    <row r="1" spans="1:17" ht="15.75" x14ac:dyDescent="0.25">
      <c r="A1" s="172" t="s">
        <v>146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7" ht="15.75" x14ac:dyDescent="0.25">
      <c r="A2" s="172" t="s">
        <v>80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7" x14ac:dyDescent="0.25">
      <c r="A3" s="1"/>
    </row>
    <row r="4" spans="1:17" s="3" customFormat="1" x14ac:dyDescent="0.25">
      <c r="A4" s="174" t="s">
        <v>14</v>
      </c>
      <c r="B4" s="174"/>
      <c r="C4" s="174"/>
      <c r="D4" s="174"/>
      <c r="E4" s="3" t="s">
        <v>81</v>
      </c>
    </row>
    <row r="5" spans="1:17" s="3" customFormat="1" x14ac:dyDescent="0.25">
      <c r="A5" s="174" t="s">
        <v>15</v>
      </c>
      <c r="B5" s="174"/>
      <c r="C5" s="174"/>
      <c r="D5" s="174"/>
      <c r="E5" s="3" t="s">
        <v>19</v>
      </c>
    </row>
    <row r="8" spans="1:17" ht="15" customHeight="1" x14ac:dyDescent="0.25">
      <c r="A8" s="173" t="s">
        <v>1</v>
      </c>
      <c r="B8" s="173" t="s">
        <v>10</v>
      </c>
      <c r="C8" s="173"/>
      <c r="D8" s="173"/>
      <c r="E8" s="173" t="s">
        <v>5</v>
      </c>
      <c r="F8" s="173" t="s">
        <v>2</v>
      </c>
      <c r="G8" s="173" t="s">
        <v>11</v>
      </c>
      <c r="H8" s="173"/>
      <c r="I8" s="173"/>
      <c r="J8" s="173" t="s">
        <v>8</v>
      </c>
      <c r="K8" s="173" t="s">
        <v>12</v>
      </c>
      <c r="L8" s="173" t="s">
        <v>16</v>
      </c>
      <c r="M8" s="173" t="s">
        <v>13</v>
      </c>
    </row>
    <row r="9" spans="1:17" ht="28.5" x14ac:dyDescent="0.25">
      <c r="A9" s="173"/>
      <c r="B9" s="4" t="s">
        <v>9</v>
      </c>
      <c r="C9" s="4" t="s">
        <v>0</v>
      </c>
      <c r="D9" s="4" t="s">
        <v>4</v>
      </c>
      <c r="E9" s="173"/>
      <c r="F9" s="173"/>
      <c r="G9" s="4" t="s">
        <v>6</v>
      </c>
      <c r="H9" s="4" t="s">
        <v>7</v>
      </c>
      <c r="I9" s="5" t="s">
        <v>3</v>
      </c>
      <c r="J9" s="173"/>
      <c r="K9" s="173"/>
      <c r="L9" s="173"/>
      <c r="M9" s="173"/>
    </row>
    <row r="10" spans="1:17" x14ac:dyDescent="0.25">
      <c r="A10" s="70"/>
      <c r="B10" s="91">
        <v>45303</v>
      </c>
      <c r="C10" s="15" t="s">
        <v>147</v>
      </c>
      <c r="D10" s="15" t="s">
        <v>148</v>
      </c>
      <c r="E10" s="73"/>
      <c r="F10" s="15" t="s">
        <v>149</v>
      </c>
      <c r="G10" s="15"/>
      <c r="H10" s="15"/>
      <c r="I10" s="71">
        <v>60</v>
      </c>
      <c r="J10" s="97" t="s">
        <v>106</v>
      </c>
      <c r="K10" s="72">
        <v>50000</v>
      </c>
      <c r="L10" s="104">
        <f>I10*K10</f>
        <v>3000000</v>
      </c>
      <c r="M10" s="2"/>
      <c r="O10" s="83"/>
      <c r="P10" s="83"/>
      <c r="Q10" s="83"/>
    </row>
    <row r="11" spans="1:17" x14ac:dyDescent="0.25">
      <c r="A11" s="70"/>
      <c r="B11" s="91"/>
      <c r="C11" s="15"/>
      <c r="D11" s="15"/>
      <c r="E11" s="73"/>
      <c r="F11" s="15"/>
      <c r="G11" s="15"/>
      <c r="H11" s="15"/>
      <c r="I11" s="71"/>
      <c r="J11" s="97"/>
      <c r="K11" s="72"/>
      <c r="L11" s="104"/>
      <c r="M11" s="2"/>
      <c r="O11" s="83"/>
      <c r="P11" s="83"/>
    </row>
    <row r="12" spans="1:17" x14ac:dyDescent="0.25">
      <c r="A12" s="70"/>
      <c r="B12" s="91"/>
      <c r="C12" s="15"/>
      <c r="D12" s="15"/>
      <c r="E12" s="73"/>
      <c r="F12" s="15"/>
      <c r="G12" s="15"/>
      <c r="H12" s="15"/>
      <c r="I12" s="71"/>
      <c r="J12" s="97"/>
      <c r="K12" s="72"/>
      <c r="L12" s="104"/>
      <c r="M12" s="2"/>
    </row>
    <row r="13" spans="1:17" x14ac:dyDescent="0.25">
      <c r="A13" s="70"/>
      <c r="B13" s="91"/>
      <c r="C13" s="15"/>
      <c r="D13" s="15"/>
      <c r="E13" s="73"/>
      <c r="F13" s="15"/>
      <c r="G13" s="15"/>
      <c r="H13" s="15"/>
      <c r="I13" s="71"/>
      <c r="J13" s="97"/>
      <c r="K13" s="72"/>
      <c r="L13" s="104"/>
      <c r="M13" s="2"/>
    </row>
    <row r="14" spans="1:17" x14ac:dyDescent="0.25">
      <c r="A14" s="70"/>
      <c r="B14" s="91"/>
      <c r="C14" s="15"/>
      <c r="D14" s="15"/>
      <c r="E14" s="73"/>
      <c r="F14" s="15"/>
      <c r="G14" s="15"/>
      <c r="H14" s="15"/>
      <c r="I14" s="71"/>
      <c r="J14" s="97"/>
      <c r="K14" s="72"/>
      <c r="L14" s="104"/>
      <c r="M14" s="2"/>
    </row>
    <row r="15" spans="1:17" x14ac:dyDescent="0.25">
      <c r="A15" s="70"/>
      <c r="B15" s="91"/>
      <c r="C15" s="15"/>
      <c r="D15" s="15"/>
      <c r="E15" s="73"/>
      <c r="F15" s="15"/>
      <c r="G15" s="15"/>
      <c r="H15" s="15"/>
      <c r="I15" s="71"/>
      <c r="J15" s="97"/>
      <c r="K15" s="72"/>
      <c r="L15" s="104"/>
      <c r="M15" s="2"/>
    </row>
    <row r="16" spans="1:17" x14ac:dyDescent="0.25">
      <c r="A16" s="169" t="s">
        <v>73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1"/>
      <c r="L16" s="105">
        <f>SUM(L10:L15)</f>
        <v>3000000</v>
      </c>
      <c r="M16" s="75"/>
    </row>
    <row r="17" spans="1:13" x14ac:dyDescent="0.25">
      <c r="A17" s="10"/>
      <c r="B17" s="9"/>
      <c r="C17" s="9"/>
      <c r="D17" s="9"/>
      <c r="L17" s="103"/>
    </row>
    <row r="18" spans="1:13" x14ac:dyDescent="0.25">
      <c r="A18" s="85" t="s">
        <v>71</v>
      </c>
      <c r="B18" s="85"/>
      <c r="C18" s="85"/>
      <c r="D18" s="85"/>
      <c r="E18" s="85"/>
      <c r="H18" s="181" t="s">
        <v>79</v>
      </c>
      <c r="I18" s="181"/>
      <c r="J18" s="181"/>
      <c r="K18" s="181"/>
      <c r="L18" s="181"/>
      <c r="M18" s="181"/>
    </row>
    <row r="19" spans="1:13" x14ac:dyDescent="0.25">
      <c r="A19" s="85" t="s">
        <v>76</v>
      </c>
      <c r="B19" s="85"/>
      <c r="C19" s="85"/>
      <c r="D19" s="85"/>
      <c r="E19" s="85"/>
      <c r="H19" s="180" t="s">
        <v>77</v>
      </c>
      <c r="I19" s="180"/>
      <c r="J19" s="180"/>
      <c r="K19" s="180"/>
      <c r="L19" s="180"/>
      <c r="M19" s="180"/>
    </row>
    <row r="20" spans="1:13" s="13" customFormat="1" x14ac:dyDescent="0.25">
      <c r="A20" s="180"/>
      <c r="B20" s="180"/>
      <c r="C20" s="180"/>
      <c r="D20" s="180"/>
      <c r="E20" s="180"/>
    </row>
    <row r="21" spans="1:13" x14ac:dyDescent="0.25">
      <c r="B21" s="9"/>
      <c r="C21" s="9"/>
      <c r="D21" s="9"/>
    </row>
    <row r="22" spans="1:13" x14ac:dyDescent="0.25">
      <c r="A22" s="14"/>
      <c r="B22" s="9"/>
      <c r="C22" s="9"/>
      <c r="D22" s="9"/>
    </row>
    <row r="23" spans="1:13" x14ac:dyDescent="0.25">
      <c r="A23" s="10"/>
      <c r="B23" s="9"/>
      <c r="C23" s="9"/>
      <c r="D23" s="9"/>
    </row>
    <row r="24" spans="1:13" x14ac:dyDescent="0.25">
      <c r="A24" s="182"/>
      <c r="B24" s="182"/>
      <c r="C24" s="182"/>
      <c r="D24" s="182"/>
      <c r="E24" s="182"/>
      <c r="I24" s="184" t="s">
        <v>94</v>
      </c>
      <c r="J24" s="184"/>
      <c r="K24" s="184"/>
      <c r="L24" s="184"/>
    </row>
    <row r="25" spans="1:13" x14ac:dyDescent="0.25">
      <c r="A25" s="183" t="s">
        <v>83</v>
      </c>
      <c r="B25" s="183"/>
      <c r="C25" s="183"/>
      <c r="D25" s="183"/>
      <c r="E25" s="183"/>
      <c r="I25" s="185" t="s">
        <v>84</v>
      </c>
      <c r="J25" s="185"/>
      <c r="K25" s="185"/>
      <c r="L25" s="185"/>
    </row>
    <row r="26" spans="1:13" x14ac:dyDescent="0.25">
      <c r="A26" s="176"/>
      <c r="B26" s="176"/>
      <c r="C26" s="176"/>
      <c r="D26" s="176"/>
      <c r="E26" s="176"/>
      <c r="I26" s="8"/>
      <c r="M26" s="8"/>
    </row>
    <row r="27" spans="1:13" x14ac:dyDescent="0.25">
      <c r="A27" s="8"/>
      <c r="B27" s="8"/>
      <c r="C27" s="8"/>
      <c r="D27" s="8"/>
      <c r="E27" s="8"/>
      <c r="H27" s="13"/>
      <c r="I27" s="13"/>
      <c r="J27" s="13"/>
      <c r="K27" s="13"/>
      <c r="L27" s="13"/>
      <c r="M27" s="8"/>
    </row>
    <row r="28" spans="1:13" x14ac:dyDescent="0.25">
      <c r="A28" s="8"/>
      <c r="B28" s="8"/>
      <c r="C28" s="8"/>
      <c r="D28" s="8" t="s">
        <v>17</v>
      </c>
      <c r="E28" s="8"/>
      <c r="M28" s="16"/>
    </row>
    <row r="29" spans="1:13" ht="15" customHeight="1" x14ac:dyDescent="0.25">
      <c r="A29" s="10"/>
      <c r="B29" s="10"/>
      <c r="C29" s="11"/>
      <c r="D29" s="8"/>
      <c r="E29" s="8"/>
      <c r="H29" s="179"/>
      <c r="I29" s="179"/>
      <c r="J29" s="179"/>
      <c r="K29" s="179"/>
      <c r="L29" s="179"/>
      <c r="M29" s="179"/>
    </row>
    <row r="30" spans="1:13" ht="15" customHeight="1" x14ac:dyDescent="0.25">
      <c r="A30" s="10"/>
      <c r="B30" s="10"/>
      <c r="C30" s="11"/>
      <c r="D30" s="8"/>
      <c r="E30" s="16"/>
      <c r="H30" s="176"/>
      <c r="I30" s="176"/>
      <c r="J30" s="176"/>
      <c r="K30" s="176"/>
      <c r="L30" s="176"/>
      <c r="M30" s="176"/>
    </row>
    <row r="31" spans="1:13" x14ac:dyDescent="0.25">
      <c r="A31" s="177"/>
      <c r="B31" s="178"/>
      <c r="C31" s="178"/>
      <c r="D31" s="178"/>
      <c r="E31" s="178"/>
      <c r="H31" s="176"/>
      <c r="I31" s="176"/>
      <c r="J31" s="176"/>
      <c r="K31" s="176"/>
      <c r="L31" s="176"/>
      <c r="M31" s="176"/>
    </row>
    <row r="32" spans="1:13" ht="15" customHeight="1" x14ac:dyDescent="0.25">
      <c r="A32" s="175"/>
      <c r="B32" s="175"/>
      <c r="C32" s="175"/>
      <c r="D32" s="175"/>
      <c r="E32" s="175"/>
    </row>
    <row r="35" spans="1:13" x14ac:dyDescent="0.25">
      <c r="A35" s="176"/>
      <c r="B35" s="176"/>
      <c r="C35" s="176"/>
      <c r="D35" s="176"/>
      <c r="E35" s="176"/>
      <c r="H35" s="176"/>
      <c r="I35" s="176"/>
      <c r="J35" s="176"/>
      <c r="K35" s="176"/>
      <c r="L35" s="176"/>
      <c r="M35" s="176"/>
    </row>
    <row r="36" spans="1:13" x14ac:dyDescent="0.25">
      <c r="A36" s="176"/>
      <c r="B36" s="176"/>
      <c r="C36" s="176"/>
      <c r="D36" s="176"/>
      <c r="E36" s="176"/>
      <c r="M36" s="8"/>
    </row>
    <row r="37" spans="1:13" x14ac:dyDescent="0.25">
      <c r="A37" s="176"/>
      <c r="B37" s="176"/>
      <c r="C37" s="176"/>
      <c r="D37" s="176"/>
      <c r="E37" s="176"/>
      <c r="M37" s="8"/>
    </row>
    <row r="38" spans="1:13" x14ac:dyDescent="0.25">
      <c r="A38" s="8"/>
      <c r="B38" s="8"/>
      <c r="C38" s="8"/>
      <c r="D38" s="8"/>
      <c r="E38" s="8"/>
      <c r="H38" s="13"/>
      <c r="I38" s="13"/>
      <c r="J38" s="13"/>
      <c r="K38" s="13"/>
      <c r="L38" s="13"/>
      <c r="M38" s="8"/>
    </row>
    <row r="39" spans="1:13" x14ac:dyDescent="0.25">
      <c r="A39" s="8"/>
      <c r="B39" s="8"/>
      <c r="C39" s="8"/>
      <c r="D39" s="8"/>
      <c r="E39" s="8"/>
      <c r="M39" s="16"/>
    </row>
    <row r="40" spans="1:13" x14ac:dyDescent="0.25">
      <c r="A40" s="10"/>
      <c r="B40" s="10"/>
      <c r="C40" s="11"/>
      <c r="D40" s="8"/>
      <c r="E40" s="8"/>
      <c r="H40" s="179"/>
      <c r="I40" s="179"/>
      <c r="J40" s="179"/>
      <c r="K40" s="179"/>
      <c r="L40" s="179"/>
      <c r="M40" s="179"/>
    </row>
    <row r="41" spans="1:13" x14ac:dyDescent="0.25">
      <c r="A41" s="10"/>
      <c r="B41" s="10"/>
      <c r="C41" s="11"/>
      <c r="D41" s="8"/>
      <c r="E41" s="16"/>
      <c r="H41" s="176"/>
      <c r="I41" s="176"/>
      <c r="J41" s="176"/>
      <c r="K41" s="176"/>
      <c r="L41" s="176"/>
      <c r="M41" s="176"/>
    </row>
    <row r="42" spans="1:13" x14ac:dyDescent="0.25">
      <c r="A42" s="177"/>
      <c r="B42" s="178"/>
      <c r="C42" s="178"/>
      <c r="D42" s="178"/>
      <c r="E42" s="178"/>
    </row>
    <row r="43" spans="1:13" x14ac:dyDescent="0.25">
      <c r="A43" s="175"/>
      <c r="B43" s="175"/>
      <c r="C43" s="175"/>
      <c r="D43" s="175"/>
      <c r="E43" s="175"/>
    </row>
  </sheetData>
  <mergeCells count="35">
    <mergeCell ref="A20:E20"/>
    <mergeCell ref="H18:M18"/>
    <mergeCell ref="H19:M19"/>
    <mergeCell ref="H30:M30"/>
    <mergeCell ref="H31:M31"/>
    <mergeCell ref="A24:E24"/>
    <mergeCell ref="A25:E25"/>
    <mergeCell ref="A26:E26"/>
    <mergeCell ref="I24:L24"/>
    <mergeCell ref="I25:L25"/>
    <mergeCell ref="A43:E43"/>
    <mergeCell ref="E8:E9"/>
    <mergeCell ref="F8:F9"/>
    <mergeCell ref="G8:I8"/>
    <mergeCell ref="A8:A9"/>
    <mergeCell ref="B8:D8"/>
    <mergeCell ref="A35:E35"/>
    <mergeCell ref="A36:E36"/>
    <mergeCell ref="A37:E37"/>
    <mergeCell ref="A42:E42"/>
    <mergeCell ref="A31:E31"/>
    <mergeCell ref="A32:E32"/>
    <mergeCell ref="H29:M29"/>
    <mergeCell ref="H35:M35"/>
    <mergeCell ref="H40:M40"/>
    <mergeCell ref="H41:M41"/>
    <mergeCell ref="A16:K16"/>
    <mergeCell ref="A1:M1"/>
    <mergeCell ref="A2:M2"/>
    <mergeCell ref="J8:J9"/>
    <mergeCell ref="K8:K9"/>
    <mergeCell ref="L8:L9"/>
    <mergeCell ref="M8:M9"/>
    <mergeCell ref="A4:D4"/>
    <mergeCell ref="A5:D5"/>
  </mergeCells>
  <phoneticPr fontId="27" type="noConversion"/>
  <pageMargins left="0.46" right="0.11811023622047245" top="0.27559055118110237" bottom="0.39370078740157483" header="0.12" footer="0.31496062992125984"/>
  <pageSetup paperSize="20000" scale="9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887A-88C0-4833-A639-9890A5DB5FD2}">
  <dimension ref="A7:H48"/>
  <sheetViews>
    <sheetView showGridLines="0" view="pageBreakPreview" zoomScale="125" zoomScaleNormal="100" zoomScaleSheetLayoutView="100" workbookViewId="0">
      <pane ySplit="13" topLeftCell="A27" activePane="bottomLeft" state="frozen"/>
      <selection activeCell="E11" sqref="E11:E42"/>
      <selection pane="bottomLeft" activeCell="A14" sqref="A14:XFD14"/>
    </sheetView>
  </sheetViews>
  <sheetFormatPr defaultColWidth="9.140625" defaultRowHeight="15" x14ac:dyDescent="0.25"/>
  <cols>
    <col min="1" max="1" width="5.42578125" style="43" customWidth="1"/>
    <col min="2" max="2" width="14.28515625" style="43" customWidth="1"/>
    <col min="3" max="3" width="1.85546875" style="43" customWidth="1"/>
    <col min="4" max="4" width="12.7109375" style="43" customWidth="1"/>
    <col min="5" max="5" width="13.7109375" style="43" customWidth="1"/>
    <col min="6" max="6" width="13.140625" style="43" customWidth="1"/>
    <col min="7" max="7" width="15.85546875" style="43" customWidth="1"/>
    <col min="8" max="8" width="18.140625" style="43" customWidth="1"/>
    <col min="9" max="9" width="0.42578125" style="43" customWidth="1"/>
    <col min="10" max="10" width="9.42578125" style="43" bestFit="1" customWidth="1"/>
    <col min="11" max="16384" width="9.140625" style="43"/>
  </cols>
  <sheetData>
    <row r="7" spans="1:8" ht="22.5" customHeight="1" x14ac:dyDescent="0.25">
      <c r="A7" s="44" t="s">
        <v>70</v>
      </c>
      <c r="B7" s="45"/>
      <c r="C7" s="45"/>
      <c r="D7" s="45"/>
      <c r="E7" s="45"/>
      <c r="F7" s="45"/>
      <c r="G7" s="45"/>
      <c r="H7" s="45"/>
    </row>
    <row r="8" spans="1:8" x14ac:dyDescent="0.25">
      <c r="A8" s="186" t="s">
        <v>141</v>
      </c>
      <c r="B8" s="186"/>
      <c r="C8" s="186"/>
      <c r="D8" s="186"/>
      <c r="E8" s="186"/>
      <c r="F8" s="186"/>
      <c r="G8" s="186"/>
      <c r="H8" s="186"/>
    </row>
    <row r="9" spans="1:8" x14ac:dyDescent="0.25">
      <c r="A9" s="46"/>
    </row>
    <row r="10" spans="1:8" x14ac:dyDescent="0.25">
      <c r="A10" s="47" t="s">
        <v>45</v>
      </c>
      <c r="C10" s="43" t="s">
        <v>23</v>
      </c>
      <c r="D10" s="143" t="s">
        <v>113</v>
      </c>
    </row>
    <row r="11" spans="1:8" x14ac:dyDescent="0.25">
      <c r="A11" s="47"/>
    </row>
    <row r="12" spans="1:8" ht="16.5" customHeight="1" x14ac:dyDescent="0.25">
      <c r="A12" s="189" t="s">
        <v>50</v>
      </c>
      <c r="B12" s="189" t="s">
        <v>2</v>
      </c>
      <c r="C12" s="189"/>
      <c r="D12" s="189"/>
      <c r="E12" s="190" t="s">
        <v>46</v>
      </c>
      <c r="F12" s="189" t="s">
        <v>47</v>
      </c>
      <c r="G12" s="187" t="s">
        <v>48</v>
      </c>
      <c r="H12" s="187" t="s">
        <v>49</v>
      </c>
    </row>
    <row r="13" spans="1:8" x14ac:dyDescent="0.25">
      <c r="A13" s="189"/>
      <c r="B13" s="189"/>
      <c r="C13" s="189"/>
      <c r="D13" s="189"/>
      <c r="E13" s="191"/>
      <c r="F13" s="189"/>
      <c r="G13" s="188"/>
      <c r="H13" s="188"/>
    </row>
    <row r="14" spans="1:8" ht="16.5" customHeight="1" x14ac:dyDescent="0.25">
      <c r="A14" s="81"/>
      <c r="B14" s="53" t="s">
        <v>149</v>
      </c>
      <c r="C14" s="124"/>
      <c r="D14" s="125"/>
      <c r="E14" s="86">
        <v>50</v>
      </c>
      <c r="F14" s="94" t="s">
        <v>151</v>
      </c>
      <c r="G14" s="62"/>
      <c r="H14" s="62"/>
    </row>
    <row r="15" spans="1:8" x14ac:dyDescent="0.25">
      <c r="A15" s="82"/>
      <c r="B15" s="56"/>
      <c r="C15" s="57"/>
      <c r="D15" s="126"/>
      <c r="E15" s="87"/>
      <c r="F15" s="95"/>
      <c r="G15" s="63"/>
      <c r="H15" s="63"/>
    </row>
    <row r="16" spans="1:8" x14ac:dyDescent="0.25">
      <c r="A16" s="82"/>
      <c r="B16" s="56"/>
      <c r="C16" s="57"/>
      <c r="D16" s="126"/>
      <c r="E16" s="87"/>
      <c r="F16" s="95"/>
      <c r="G16" s="63"/>
      <c r="H16" s="63"/>
    </row>
    <row r="17" spans="1:8" ht="15" customHeight="1" x14ac:dyDescent="0.25">
      <c r="A17" s="82"/>
      <c r="B17" s="56"/>
      <c r="C17" s="57"/>
      <c r="D17" s="126"/>
      <c r="E17" s="87"/>
      <c r="F17" s="95"/>
      <c r="G17" s="63"/>
      <c r="H17" s="63"/>
    </row>
    <row r="18" spans="1:8" ht="15" customHeight="1" x14ac:dyDescent="0.25">
      <c r="A18" s="82"/>
      <c r="B18" s="56"/>
      <c r="C18" s="57"/>
      <c r="D18" s="126"/>
      <c r="E18" s="87"/>
      <c r="F18" s="95"/>
      <c r="G18" s="63"/>
      <c r="H18" s="63"/>
    </row>
    <row r="19" spans="1:8" ht="15" customHeight="1" x14ac:dyDescent="0.25">
      <c r="A19" s="82"/>
      <c r="B19" s="56"/>
      <c r="C19" s="57"/>
      <c r="D19" s="126"/>
      <c r="E19" s="87"/>
      <c r="F19" s="95"/>
      <c r="G19" s="63"/>
      <c r="H19" s="63"/>
    </row>
    <row r="20" spans="1:8" x14ac:dyDescent="0.25">
      <c r="A20" s="82"/>
      <c r="B20" s="56"/>
      <c r="C20" s="57"/>
      <c r="D20" s="126"/>
      <c r="E20" s="87"/>
      <c r="F20" s="95"/>
      <c r="G20" s="63"/>
      <c r="H20" s="63"/>
    </row>
    <row r="21" spans="1:8" ht="15" customHeight="1" x14ac:dyDescent="0.25">
      <c r="A21" s="82"/>
      <c r="B21" s="56"/>
      <c r="C21" s="57"/>
      <c r="D21" s="126"/>
      <c r="E21" s="87"/>
      <c r="F21" s="95"/>
      <c r="G21" s="63"/>
      <c r="H21" s="63"/>
    </row>
    <row r="22" spans="1:8" x14ac:dyDescent="0.25">
      <c r="A22" s="82"/>
      <c r="B22" s="56"/>
      <c r="C22" s="57"/>
      <c r="D22" s="126"/>
      <c r="E22" s="87"/>
      <c r="F22" s="95"/>
      <c r="G22" s="63"/>
      <c r="H22" s="63"/>
    </row>
    <row r="23" spans="1:8" x14ac:dyDescent="0.25">
      <c r="A23" s="82"/>
      <c r="B23" s="56"/>
      <c r="C23" s="57"/>
      <c r="D23" s="126"/>
      <c r="E23" s="87"/>
      <c r="F23" s="95"/>
      <c r="G23" s="63"/>
      <c r="H23" s="63"/>
    </row>
    <row r="24" spans="1:8" ht="15" customHeight="1" x14ac:dyDescent="0.25">
      <c r="A24" s="82"/>
      <c r="B24" s="56"/>
      <c r="C24" s="57"/>
      <c r="D24" s="126"/>
      <c r="E24" s="87"/>
      <c r="F24" s="95"/>
      <c r="G24" s="63"/>
      <c r="H24" s="63"/>
    </row>
    <row r="25" spans="1:8" ht="15" customHeight="1" x14ac:dyDescent="0.25">
      <c r="A25" s="82"/>
      <c r="B25" s="56"/>
      <c r="C25" s="57"/>
      <c r="D25" s="126"/>
      <c r="E25" s="87"/>
      <c r="F25" s="95"/>
      <c r="G25" s="63"/>
      <c r="H25" s="63"/>
    </row>
    <row r="26" spans="1:8" ht="15" customHeight="1" x14ac:dyDescent="0.25">
      <c r="A26" s="82"/>
      <c r="B26" s="56"/>
      <c r="C26" s="57"/>
      <c r="D26" s="126"/>
      <c r="E26" s="87"/>
      <c r="F26" s="95"/>
      <c r="G26" s="63"/>
      <c r="H26" s="63"/>
    </row>
    <row r="27" spans="1:8" ht="15" customHeight="1" x14ac:dyDescent="0.25">
      <c r="A27" s="82"/>
      <c r="B27" s="56"/>
      <c r="C27" s="57"/>
      <c r="D27" s="126"/>
      <c r="E27" s="87"/>
      <c r="F27" s="95"/>
      <c r="G27" s="63"/>
      <c r="H27" s="63"/>
    </row>
    <row r="28" spans="1:8" ht="15" customHeight="1" x14ac:dyDescent="0.25">
      <c r="A28" s="82"/>
      <c r="B28" s="56"/>
      <c r="C28" s="57"/>
      <c r="D28" s="126"/>
      <c r="E28" s="87"/>
      <c r="F28" s="95"/>
      <c r="G28" s="63"/>
      <c r="H28" s="63"/>
    </row>
    <row r="29" spans="1:8" ht="15" customHeight="1" x14ac:dyDescent="0.25">
      <c r="A29" s="82"/>
      <c r="B29" s="56"/>
      <c r="C29" s="57"/>
      <c r="D29" s="126"/>
      <c r="E29" s="87"/>
      <c r="F29" s="95"/>
      <c r="G29" s="63"/>
      <c r="H29" s="63"/>
    </row>
    <row r="30" spans="1:8" ht="15" customHeight="1" x14ac:dyDescent="0.25">
      <c r="A30" s="82"/>
      <c r="B30" s="56"/>
      <c r="C30" s="57"/>
      <c r="D30" s="126"/>
      <c r="E30" s="87"/>
      <c r="F30" s="95"/>
      <c r="G30" s="63"/>
      <c r="H30" s="63"/>
    </row>
    <row r="31" spans="1:8" ht="15" customHeight="1" x14ac:dyDescent="0.25">
      <c r="A31" s="82"/>
      <c r="B31" s="56"/>
      <c r="C31" s="57"/>
      <c r="D31" s="126"/>
      <c r="E31" s="87"/>
      <c r="F31" s="95"/>
      <c r="G31" s="63"/>
      <c r="H31" s="63"/>
    </row>
    <row r="32" spans="1:8" ht="15" customHeight="1" x14ac:dyDescent="0.25">
      <c r="A32" s="82"/>
      <c r="B32" s="56"/>
      <c r="C32" s="57"/>
      <c r="D32" s="126"/>
      <c r="E32" s="87"/>
      <c r="F32" s="95"/>
      <c r="G32" s="63"/>
      <c r="H32" s="63"/>
    </row>
    <row r="33" spans="1:8" ht="15" customHeight="1" x14ac:dyDescent="0.25">
      <c r="A33" s="82"/>
      <c r="B33" s="56"/>
      <c r="C33" s="57"/>
      <c r="D33" s="126"/>
      <c r="E33" s="87"/>
      <c r="F33" s="95"/>
      <c r="G33" s="63"/>
      <c r="H33" s="63"/>
    </row>
    <row r="34" spans="1:8" ht="15" customHeight="1" x14ac:dyDescent="0.25">
      <c r="A34" s="108"/>
      <c r="B34" s="107"/>
      <c r="C34" s="122"/>
      <c r="D34" s="123"/>
      <c r="E34" s="88"/>
      <c r="F34" s="96"/>
      <c r="G34" s="61"/>
      <c r="H34" s="61"/>
    </row>
    <row r="36" spans="1:8" x14ac:dyDescent="0.25">
      <c r="G36" s="43" t="s">
        <v>150</v>
      </c>
    </row>
    <row r="37" spans="1:8" x14ac:dyDescent="0.25">
      <c r="G37" s="43" t="s">
        <v>51</v>
      </c>
    </row>
    <row r="42" spans="1:8" x14ac:dyDescent="0.25">
      <c r="G42" s="46" t="s">
        <v>167</v>
      </c>
    </row>
    <row r="43" spans="1:8" x14ac:dyDescent="0.25">
      <c r="G43" s="46" t="s">
        <v>169</v>
      </c>
    </row>
    <row r="47" spans="1:8" x14ac:dyDescent="0.25">
      <c r="E47" s="64"/>
    </row>
    <row r="48" spans="1:8" x14ac:dyDescent="0.25">
      <c r="F48" s="47"/>
    </row>
  </sheetData>
  <mergeCells count="7">
    <mergeCell ref="A8:H8"/>
    <mergeCell ref="G12:G13"/>
    <mergeCell ref="H12:H13"/>
    <mergeCell ref="A12:A13"/>
    <mergeCell ref="B12:D13"/>
    <mergeCell ref="E12:E13"/>
    <mergeCell ref="F12:F13"/>
  </mergeCells>
  <pageMargins left="0.49" right="0.35433070866141736" top="0.39370078740157483" bottom="0.47244094488188981" header="0.31496062992125984" footer="0.31496062992125984"/>
  <pageSetup paperSize="20000" scale="95" orientation="portrait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87FBE-9FA2-47E6-AEA9-3A8BD152FAA7}">
  <dimension ref="A1:NE46"/>
  <sheetViews>
    <sheetView view="pageBreakPreview" topLeftCell="A3" zoomScale="141" zoomScaleNormal="100" zoomScaleSheetLayoutView="100" workbookViewId="0">
      <selection activeCell="J3" sqref="J1:K1048576"/>
    </sheetView>
  </sheetViews>
  <sheetFormatPr defaultRowHeight="15" x14ac:dyDescent="0.25"/>
  <cols>
    <col min="1" max="1" width="4.28515625" customWidth="1"/>
    <col min="2" max="2" width="10.140625" customWidth="1"/>
    <col min="3" max="3" width="16.7109375" bestFit="1" customWidth="1"/>
    <col min="4" max="4" width="7.85546875" bestFit="1" customWidth="1"/>
    <col min="5" max="5" width="17.42578125" bestFit="1" customWidth="1"/>
    <col min="6" max="6" width="5.5703125" bestFit="1" customWidth="1"/>
    <col min="7" max="7" width="10.42578125" bestFit="1" customWidth="1"/>
    <col min="8" max="8" width="5.5703125" bestFit="1" customWidth="1"/>
    <col min="9" max="9" width="5.7109375" bestFit="1" customWidth="1"/>
    <col min="10" max="10" width="5.5703125" bestFit="1" customWidth="1"/>
    <col min="11" max="11" width="10.5703125" bestFit="1" customWidth="1"/>
    <col min="12" max="12" width="11.5703125" customWidth="1"/>
    <col min="13" max="13" width="11.85546875" customWidth="1"/>
  </cols>
  <sheetData>
    <row r="1" spans="1:369" s="17" customFormat="1" ht="11.25" x14ac:dyDescent="0.2">
      <c r="A1" s="200" t="s">
        <v>20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369" s="17" customFormat="1" ht="11.25" customHeight="1" x14ac:dyDescent="0.2">
      <c r="A2" s="201" t="s">
        <v>138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53"/>
    </row>
    <row r="3" spans="1:369" s="17" customFormat="1" ht="11.25" customHeight="1" x14ac:dyDescent="0.2">
      <c r="A3" s="199" t="s">
        <v>21</v>
      </c>
      <c r="B3" s="199"/>
      <c r="C3" s="18"/>
    </row>
    <row r="4" spans="1:369" s="17" customFormat="1" ht="11.25" customHeight="1" x14ac:dyDescent="0.2">
      <c r="A4" s="199" t="s">
        <v>22</v>
      </c>
      <c r="B4" s="199"/>
      <c r="C4" s="17" t="s">
        <v>109</v>
      </c>
    </row>
    <row r="5" spans="1:369" s="17" customFormat="1" ht="11.25" customHeight="1" x14ac:dyDescent="0.2">
      <c r="A5" s="199" t="s">
        <v>24</v>
      </c>
      <c r="B5" s="199"/>
      <c r="C5" s="100" t="s">
        <v>153</v>
      </c>
    </row>
    <row r="6" spans="1:369" s="17" customFormat="1" ht="11.25" customHeight="1" x14ac:dyDescent="0.2">
      <c r="A6" s="199" t="s">
        <v>25</v>
      </c>
      <c r="B6" s="199"/>
      <c r="C6" s="17" t="s">
        <v>139</v>
      </c>
    </row>
    <row r="7" spans="1:369" s="17" customFormat="1" ht="11.25" x14ac:dyDescent="0.2">
      <c r="A7" s="19"/>
      <c r="B7" s="19"/>
    </row>
    <row r="8" spans="1:369" s="20" customFormat="1" ht="18.75" customHeight="1" x14ac:dyDescent="0.25">
      <c r="A8" s="195" t="s">
        <v>1</v>
      </c>
      <c r="B8" s="195" t="s">
        <v>5</v>
      </c>
      <c r="C8" s="202" t="s">
        <v>2</v>
      </c>
      <c r="D8" s="195" t="s">
        <v>6</v>
      </c>
      <c r="E8" s="195" t="s">
        <v>7</v>
      </c>
      <c r="F8" s="193" t="s">
        <v>26</v>
      </c>
      <c r="G8" s="194"/>
      <c r="H8" s="193" t="s">
        <v>27</v>
      </c>
      <c r="I8" s="194"/>
      <c r="J8" s="193" t="s">
        <v>28</v>
      </c>
      <c r="K8" s="194"/>
      <c r="L8" s="195" t="s">
        <v>29</v>
      </c>
      <c r="M8" s="195" t="s">
        <v>30</v>
      </c>
    </row>
    <row r="9" spans="1:369" s="20" customFormat="1" ht="21" x14ac:dyDescent="0.25">
      <c r="A9" s="196"/>
      <c r="B9" s="196"/>
      <c r="C9" s="203"/>
      <c r="D9" s="196"/>
      <c r="E9" s="196"/>
      <c r="F9" s="21" t="s">
        <v>3</v>
      </c>
      <c r="G9" s="21" t="s">
        <v>8</v>
      </c>
      <c r="H9" s="21" t="s">
        <v>3</v>
      </c>
      <c r="I9" s="21" t="s">
        <v>8</v>
      </c>
      <c r="J9" s="21" t="s">
        <v>3</v>
      </c>
      <c r="K9" s="21" t="s">
        <v>8</v>
      </c>
      <c r="L9" s="196"/>
      <c r="M9" s="196"/>
    </row>
    <row r="10" spans="1:369" s="26" customFormat="1" ht="9.75" customHeight="1" x14ac:dyDescent="0.2">
      <c r="A10" s="25"/>
      <c r="B10" s="73"/>
      <c r="C10" s="23" t="str">
        <f>'2 NPB'!B14</f>
        <v>HVS F4</v>
      </c>
      <c r="D10" s="24"/>
      <c r="E10" s="15"/>
      <c r="F10" s="25">
        <v>50</v>
      </c>
      <c r="G10" s="129" t="s">
        <v>151</v>
      </c>
      <c r="H10" s="71">
        <v>60</v>
      </c>
      <c r="I10" s="98" t="s">
        <v>151</v>
      </c>
      <c r="J10" s="25">
        <v>50</v>
      </c>
      <c r="K10" s="129" t="s">
        <v>151</v>
      </c>
      <c r="L10" s="25"/>
      <c r="M10" s="22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</row>
    <row r="11" spans="1:369" s="26" customFormat="1" ht="9.75" customHeight="1" x14ac:dyDescent="0.2">
      <c r="A11" s="25"/>
      <c r="B11" s="73"/>
      <c r="C11" s="23"/>
      <c r="D11" s="24"/>
      <c r="E11" s="15"/>
      <c r="F11" s="25"/>
      <c r="G11" s="129"/>
      <c r="H11" s="71"/>
      <c r="I11" s="98"/>
      <c r="J11" s="25"/>
      <c r="K11" s="129"/>
      <c r="L11" s="25"/>
      <c r="M11" s="22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</row>
    <row r="12" spans="1:369" s="26" customFormat="1" ht="9.75" customHeight="1" x14ac:dyDescent="0.2">
      <c r="A12" s="25"/>
      <c r="B12" s="73"/>
      <c r="C12" s="23"/>
      <c r="D12" s="24"/>
      <c r="E12" s="15"/>
      <c r="F12" s="25"/>
      <c r="G12" s="129"/>
      <c r="H12" s="71"/>
      <c r="I12" s="98"/>
      <c r="J12" s="25"/>
      <c r="K12" s="129"/>
      <c r="L12" s="25"/>
      <c r="M12" s="22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</row>
    <row r="13" spans="1:369" s="26" customFormat="1" ht="9.75" customHeight="1" x14ac:dyDescent="0.2">
      <c r="A13" s="25"/>
      <c r="B13" s="73"/>
      <c r="C13" s="23"/>
      <c r="D13" s="24"/>
      <c r="E13" s="15"/>
      <c r="F13" s="25"/>
      <c r="G13" s="129"/>
      <c r="H13" s="71"/>
      <c r="I13" s="98"/>
      <c r="J13" s="25"/>
      <c r="K13" s="129"/>
      <c r="L13" s="25"/>
      <c r="M13" s="22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</row>
    <row r="14" spans="1:369" s="26" customFormat="1" ht="9.75" customHeight="1" x14ac:dyDescent="0.2">
      <c r="A14" s="25"/>
      <c r="B14" s="73"/>
      <c r="C14" s="23"/>
      <c r="D14" s="24"/>
      <c r="E14" s="15"/>
      <c r="F14" s="25"/>
      <c r="G14" s="129"/>
      <c r="H14" s="71"/>
      <c r="I14" s="98"/>
      <c r="J14" s="25"/>
      <c r="K14" s="129"/>
      <c r="L14" s="25"/>
      <c r="M14" s="22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</row>
    <row r="15" spans="1:369" s="26" customFormat="1" ht="9.75" customHeight="1" x14ac:dyDescent="0.2">
      <c r="A15" s="25"/>
      <c r="B15" s="73"/>
      <c r="C15" s="23"/>
      <c r="D15" s="24"/>
      <c r="E15" s="15"/>
      <c r="F15" s="25"/>
      <c r="G15" s="129"/>
      <c r="H15" s="71"/>
      <c r="I15" s="98"/>
      <c r="J15" s="25"/>
      <c r="K15" s="129"/>
      <c r="L15" s="25"/>
      <c r="M15" s="22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</row>
    <row r="16" spans="1:369" s="26" customFormat="1" ht="9.75" customHeight="1" x14ac:dyDescent="0.2">
      <c r="A16" s="25"/>
      <c r="B16" s="73"/>
      <c r="C16" s="23"/>
      <c r="D16" s="24"/>
      <c r="E16" s="15"/>
      <c r="F16" s="25"/>
      <c r="G16" s="129"/>
      <c r="H16" s="71"/>
      <c r="I16" s="98"/>
      <c r="J16" s="25"/>
      <c r="K16" s="129"/>
      <c r="L16" s="25"/>
      <c r="M16" s="22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</row>
    <row r="17" spans="1:369" s="26" customFormat="1" ht="9.75" customHeight="1" x14ac:dyDescent="0.2">
      <c r="A17" s="25"/>
      <c r="B17" s="73"/>
      <c r="C17" s="23"/>
      <c r="D17" s="24"/>
      <c r="E17" s="15"/>
      <c r="F17" s="25"/>
      <c r="G17" s="129"/>
      <c r="H17" s="71"/>
      <c r="I17" s="98"/>
      <c r="J17" s="25"/>
      <c r="K17" s="129"/>
      <c r="L17" s="25"/>
      <c r="M17" s="22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</row>
    <row r="18" spans="1:369" s="26" customFormat="1" ht="9.75" customHeight="1" x14ac:dyDescent="0.2">
      <c r="A18" s="25"/>
      <c r="B18" s="73"/>
      <c r="C18" s="23"/>
      <c r="D18" s="24"/>
      <c r="E18" s="15"/>
      <c r="F18" s="25"/>
      <c r="G18" s="129"/>
      <c r="H18" s="71"/>
      <c r="I18" s="98"/>
      <c r="J18" s="25"/>
      <c r="K18" s="129"/>
      <c r="L18" s="25"/>
      <c r="M18" s="22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</row>
    <row r="19" spans="1:369" s="26" customFormat="1" ht="9.75" customHeight="1" x14ac:dyDescent="0.2">
      <c r="A19" s="25"/>
      <c r="B19" s="73"/>
      <c r="C19" s="23"/>
      <c r="D19" s="24"/>
      <c r="E19" s="15"/>
      <c r="F19" s="25"/>
      <c r="G19" s="129"/>
      <c r="H19" s="71"/>
      <c r="I19" s="98"/>
      <c r="J19" s="25"/>
      <c r="K19" s="129"/>
      <c r="L19" s="25"/>
      <c r="M19" s="22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</row>
    <row r="20" spans="1:369" s="26" customFormat="1" ht="9.75" customHeight="1" x14ac:dyDescent="0.2">
      <c r="A20" s="25"/>
      <c r="B20" s="73"/>
      <c r="C20" s="23"/>
      <c r="D20" s="24"/>
      <c r="E20" s="15"/>
      <c r="F20" s="25"/>
      <c r="G20" s="129"/>
      <c r="H20" s="71"/>
      <c r="I20" s="98"/>
      <c r="J20" s="25"/>
      <c r="K20" s="129"/>
      <c r="L20" s="25"/>
      <c r="M20" s="22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</row>
    <row r="21" spans="1:369" s="26" customFormat="1" ht="9.75" customHeight="1" x14ac:dyDescent="0.2">
      <c r="A21" s="25"/>
      <c r="B21" s="73"/>
      <c r="C21" s="23"/>
      <c r="D21" s="24"/>
      <c r="E21" s="15"/>
      <c r="F21" s="25"/>
      <c r="G21" s="129"/>
      <c r="H21" s="71"/>
      <c r="I21" s="98"/>
      <c r="J21" s="25"/>
      <c r="K21" s="129"/>
      <c r="L21" s="25"/>
      <c r="M21" s="22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</row>
    <row r="22" spans="1:369" s="26" customFormat="1" ht="9.75" customHeight="1" x14ac:dyDescent="0.2">
      <c r="A22" s="25"/>
      <c r="B22" s="73"/>
      <c r="C22" s="23"/>
      <c r="D22" s="24"/>
      <c r="E22" s="15"/>
      <c r="F22" s="25"/>
      <c r="G22" s="129"/>
      <c r="H22" s="71"/>
      <c r="I22" s="98"/>
      <c r="J22" s="25"/>
      <c r="K22" s="129"/>
      <c r="L22" s="25"/>
      <c r="M22" s="22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</row>
    <row r="23" spans="1:369" s="26" customFormat="1" ht="9.75" customHeight="1" x14ac:dyDescent="0.2">
      <c r="A23" s="25"/>
      <c r="B23" s="73"/>
      <c r="C23" s="23"/>
      <c r="D23" s="24"/>
      <c r="E23" s="15"/>
      <c r="F23" s="25"/>
      <c r="G23" s="129"/>
      <c r="H23" s="71"/>
      <c r="I23" s="98"/>
      <c r="J23" s="25"/>
      <c r="K23" s="129"/>
      <c r="L23" s="25"/>
      <c r="M23" s="22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</row>
    <row r="24" spans="1:369" s="26" customFormat="1" ht="9.75" customHeight="1" x14ac:dyDescent="0.2">
      <c r="A24" s="25"/>
      <c r="B24" s="73"/>
      <c r="C24" s="23"/>
      <c r="D24" s="24"/>
      <c r="E24" s="15"/>
      <c r="F24" s="25"/>
      <c r="G24" s="129"/>
      <c r="H24" s="71"/>
      <c r="I24" s="98"/>
      <c r="J24" s="25"/>
      <c r="K24" s="129"/>
      <c r="L24" s="25"/>
      <c r="M24" s="22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</row>
    <row r="25" spans="1:369" s="26" customFormat="1" ht="9.75" customHeight="1" x14ac:dyDescent="0.2">
      <c r="A25" s="25"/>
      <c r="B25" s="73"/>
      <c r="C25" s="23"/>
      <c r="D25" s="24"/>
      <c r="E25" s="15"/>
      <c r="F25" s="25"/>
      <c r="G25" s="129"/>
      <c r="H25" s="71"/>
      <c r="I25" s="98"/>
      <c r="J25" s="25"/>
      <c r="K25" s="129"/>
      <c r="L25" s="25"/>
      <c r="M25" s="22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</row>
    <row r="26" spans="1:369" s="26" customFormat="1" ht="9.75" customHeight="1" x14ac:dyDescent="0.2">
      <c r="A26" s="25"/>
      <c r="B26" s="73"/>
      <c r="C26" s="23"/>
      <c r="D26" s="24"/>
      <c r="E26" s="15"/>
      <c r="F26" s="25"/>
      <c r="G26" s="129"/>
      <c r="H26" s="71"/>
      <c r="I26" s="98"/>
      <c r="J26" s="25"/>
      <c r="K26" s="129"/>
      <c r="L26" s="25"/>
      <c r="M26" s="22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</row>
    <row r="27" spans="1:369" s="26" customFormat="1" ht="9.75" customHeight="1" x14ac:dyDescent="0.2">
      <c r="A27" s="25"/>
      <c r="B27" s="73"/>
      <c r="C27" s="23"/>
      <c r="D27" s="24"/>
      <c r="E27" s="15"/>
      <c r="F27" s="25"/>
      <c r="G27" s="129"/>
      <c r="H27" s="71"/>
      <c r="I27" s="98"/>
      <c r="J27" s="25"/>
      <c r="K27" s="129"/>
      <c r="L27" s="25"/>
      <c r="M27" s="22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</row>
    <row r="28" spans="1:369" s="26" customFormat="1" ht="9.75" customHeight="1" x14ac:dyDescent="0.2">
      <c r="A28" s="25"/>
      <c r="B28" s="73"/>
      <c r="C28" s="23"/>
      <c r="D28" s="24"/>
      <c r="E28" s="15"/>
      <c r="F28" s="25"/>
      <c r="G28" s="129"/>
      <c r="H28" s="71"/>
      <c r="I28" s="98"/>
      <c r="J28" s="25"/>
      <c r="K28" s="129"/>
      <c r="L28" s="25"/>
      <c r="M28" s="22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</row>
    <row r="29" spans="1:369" s="26" customFormat="1" ht="9.75" customHeight="1" x14ac:dyDescent="0.2">
      <c r="A29" s="25"/>
      <c r="B29" s="73"/>
      <c r="C29" s="23"/>
      <c r="D29" s="24"/>
      <c r="E29" s="15"/>
      <c r="F29" s="25"/>
      <c r="G29" s="129"/>
      <c r="H29" s="71"/>
      <c r="I29" s="98"/>
      <c r="J29" s="25"/>
      <c r="K29" s="129"/>
      <c r="L29" s="25"/>
      <c r="M29" s="22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</row>
    <row r="30" spans="1:369" s="26" customFormat="1" ht="9.75" customHeight="1" x14ac:dyDescent="0.2">
      <c r="A30" s="25"/>
      <c r="B30" s="73"/>
      <c r="C30" s="23">
        <f>'2 NPB'!B34</f>
        <v>0</v>
      </c>
      <c r="D30" s="24"/>
      <c r="E30" s="15"/>
      <c r="F30" s="25"/>
      <c r="G30" s="129"/>
      <c r="H30" s="71"/>
      <c r="I30" s="98"/>
      <c r="J30" s="25"/>
      <c r="K30" s="129"/>
      <c r="L30" s="25"/>
      <c r="M30" s="22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</row>
    <row r="32" spans="1:369" x14ac:dyDescent="0.25">
      <c r="C32" s="89"/>
      <c r="F32" s="197" t="s">
        <v>152</v>
      </c>
      <c r="G32" s="197"/>
      <c r="H32" s="197"/>
      <c r="I32" s="197"/>
      <c r="J32" s="197"/>
      <c r="K32" s="197"/>
      <c r="L32" s="197"/>
      <c r="M32" s="197"/>
    </row>
    <row r="33" spans="3:13" x14ac:dyDescent="0.25">
      <c r="C33" s="89"/>
      <c r="F33" s="197" t="s">
        <v>170</v>
      </c>
      <c r="G33" s="197"/>
      <c r="H33" s="197"/>
      <c r="I33" s="197"/>
      <c r="J33" s="197"/>
      <c r="K33" s="197"/>
      <c r="L33" s="197"/>
      <c r="M33" s="197"/>
    </row>
    <row r="34" spans="3:13" x14ac:dyDescent="0.25">
      <c r="C34" s="79"/>
    </row>
    <row r="35" spans="3:13" x14ac:dyDescent="0.25">
      <c r="C35" s="79"/>
    </row>
    <row r="36" spans="3:13" x14ac:dyDescent="0.25">
      <c r="C36" s="79"/>
    </row>
    <row r="37" spans="3:13" x14ac:dyDescent="0.25">
      <c r="C37" s="79"/>
    </row>
    <row r="38" spans="3:13" x14ac:dyDescent="0.25">
      <c r="C38" s="78"/>
      <c r="H38" s="198" t="s">
        <v>168</v>
      </c>
      <c r="I38" s="198"/>
      <c r="J38" s="198"/>
      <c r="K38" s="198"/>
    </row>
    <row r="39" spans="3:13" x14ac:dyDescent="0.25">
      <c r="C39" s="78"/>
      <c r="H39" s="184" t="s">
        <v>169</v>
      </c>
      <c r="I39" s="184"/>
      <c r="J39" s="184"/>
      <c r="K39" s="184"/>
    </row>
    <row r="40" spans="3:13" x14ac:dyDescent="0.25">
      <c r="C40" s="27"/>
    </row>
    <row r="42" spans="3:13" x14ac:dyDescent="0.25">
      <c r="F42" s="27"/>
      <c r="G42" s="27"/>
      <c r="H42" s="27"/>
      <c r="I42" s="27"/>
      <c r="J42" s="27"/>
      <c r="K42" s="27"/>
      <c r="L42" s="27"/>
      <c r="M42" s="27"/>
    </row>
    <row r="43" spans="3:13" x14ac:dyDescent="0.25">
      <c r="F43" s="27"/>
      <c r="G43" s="27"/>
      <c r="H43" s="27"/>
      <c r="I43" s="27"/>
      <c r="J43" s="27"/>
      <c r="K43" s="27"/>
      <c r="L43" s="27"/>
      <c r="M43" s="27"/>
    </row>
    <row r="44" spans="3:13" x14ac:dyDescent="0.25">
      <c r="F44" s="27"/>
      <c r="G44" s="27"/>
      <c r="H44" s="27"/>
      <c r="I44" s="27"/>
      <c r="J44" s="27"/>
      <c r="K44" s="27"/>
      <c r="L44" s="27"/>
      <c r="M44" s="27"/>
    </row>
    <row r="46" spans="3:13" x14ac:dyDescent="0.25">
      <c r="F46" s="192"/>
      <c r="G46" s="192"/>
      <c r="H46" s="192"/>
      <c r="I46" s="192"/>
      <c r="J46" s="192"/>
      <c r="K46" s="192"/>
      <c r="L46" s="192"/>
      <c r="M46" s="192"/>
    </row>
  </sheetData>
  <mergeCells count="21">
    <mergeCell ref="A8:A9"/>
    <mergeCell ref="B8:B9"/>
    <mergeCell ref="C8:C9"/>
    <mergeCell ref="D8:D9"/>
    <mergeCell ref="E8:E9"/>
    <mergeCell ref="A6:B6"/>
    <mergeCell ref="A1:M1"/>
    <mergeCell ref="A3:B3"/>
    <mergeCell ref="A4:B4"/>
    <mergeCell ref="A5:B5"/>
    <mergeCell ref="A2:L2"/>
    <mergeCell ref="F46:M46"/>
    <mergeCell ref="H8:I8"/>
    <mergeCell ref="J8:K8"/>
    <mergeCell ref="L8:L9"/>
    <mergeCell ref="M8:M9"/>
    <mergeCell ref="F32:M32"/>
    <mergeCell ref="F33:M33"/>
    <mergeCell ref="F8:G8"/>
    <mergeCell ref="H38:K38"/>
    <mergeCell ref="H39:K39"/>
  </mergeCells>
  <pageMargins left="0.61" right="0.11811023622047245" top="0.28000000000000003" bottom="0.31496062992125984" header="0.16" footer="0.11811023622047245"/>
  <pageSetup paperSize="2000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7088-C091-4B62-9037-3E4544DC5E6F}">
  <dimension ref="A7:J55"/>
  <sheetViews>
    <sheetView showGridLines="0" view="pageBreakPreview" zoomScaleNormal="100" zoomScaleSheetLayoutView="100" workbookViewId="0">
      <pane xSplit="10" ySplit="6" topLeftCell="K13" activePane="bottomRight" state="frozen"/>
      <selection activeCell="G10" sqref="G10"/>
      <selection pane="topRight" activeCell="G10" sqref="G10"/>
      <selection pane="bottomLeft" activeCell="G10" sqref="G10"/>
      <selection pane="bottomRight" activeCell="G38" sqref="G38"/>
    </sheetView>
  </sheetViews>
  <sheetFormatPr defaultColWidth="9.140625" defaultRowHeight="15" x14ac:dyDescent="0.25"/>
  <cols>
    <col min="1" max="1" width="5.42578125" style="43" customWidth="1"/>
    <col min="2" max="2" width="13.7109375" style="43" customWidth="1"/>
    <col min="3" max="3" width="3.42578125" style="43" hidden="1" customWidth="1"/>
    <col min="4" max="4" width="1.85546875" style="43" customWidth="1"/>
    <col min="5" max="5" width="37.42578125" style="43" customWidth="1"/>
    <col min="6" max="6" width="7.28515625" style="43" hidden="1" customWidth="1"/>
    <col min="7" max="7" width="11.28515625" style="43" customWidth="1"/>
    <col min="8" max="8" width="7.7109375" style="43" customWidth="1"/>
    <col min="9" max="9" width="7.5703125" style="43" customWidth="1"/>
    <col min="10" max="10" width="12.85546875" style="43" customWidth="1"/>
    <col min="11" max="16384" width="9.140625" style="43"/>
  </cols>
  <sheetData>
    <row r="7" spans="1:10" ht="23.25" customHeight="1" x14ac:dyDescent="0.25">
      <c r="A7" s="186" t="s">
        <v>69</v>
      </c>
      <c r="B7" s="186"/>
      <c r="C7" s="186"/>
      <c r="D7" s="186"/>
      <c r="E7" s="186"/>
      <c r="F7" s="186"/>
      <c r="G7" s="186"/>
      <c r="H7" s="186"/>
      <c r="I7" s="186"/>
      <c r="J7" s="186"/>
    </row>
    <row r="8" spans="1:10" x14ac:dyDescent="0.25">
      <c r="A8" s="186" t="s">
        <v>110</v>
      </c>
      <c r="B8" s="186"/>
      <c r="C8" s="186"/>
      <c r="D8" s="186"/>
      <c r="E8" s="186"/>
      <c r="F8" s="186"/>
      <c r="G8" s="186"/>
      <c r="H8" s="186"/>
      <c r="I8" s="186"/>
      <c r="J8" s="186"/>
    </row>
    <row r="9" spans="1:10" ht="28.5" customHeight="1" x14ac:dyDescent="0.25">
      <c r="A9" s="46" t="s">
        <v>52</v>
      </c>
    </row>
    <row r="10" spans="1:10" x14ac:dyDescent="0.25">
      <c r="A10" s="47" t="s">
        <v>53</v>
      </c>
      <c r="D10" s="43" t="s">
        <v>23</v>
      </c>
      <c r="E10" s="43" t="s">
        <v>120</v>
      </c>
    </row>
    <row r="11" spans="1:10" x14ac:dyDescent="0.25">
      <c r="A11" s="47" t="s">
        <v>54</v>
      </c>
      <c r="D11" s="43" t="s">
        <v>23</v>
      </c>
      <c r="E11" s="140" t="s">
        <v>177</v>
      </c>
    </row>
    <row r="12" spans="1:10" x14ac:dyDescent="0.25">
      <c r="A12" s="47" t="s">
        <v>55</v>
      </c>
      <c r="D12" s="43" t="s">
        <v>23</v>
      </c>
      <c r="E12" s="43" t="s">
        <v>121</v>
      </c>
    </row>
    <row r="13" spans="1:10" x14ac:dyDescent="0.25">
      <c r="A13" s="47"/>
    </row>
    <row r="14" spans="1:10" ht="26.25" customHeight="1" x14ac:dyDescent="0.25">
      <c r="A14" s="189" t="s">
        <v>1</v>
      </c>
      <c r="B14" s="190" t="s">
        <v>5</v>
      </c>
      <c r="C14" s="209"/>
      <c r="D14" s="207"/>
      <c r="E14" s="190" t="s">
        <v>2</v>
      </c>
      <c r="F14" s="207"/>
      <c r="G14" s="189" t="s">
        <v>11</v>
      </c>
      <c r="H14" s="189" t="s">
        <v>56</v>
      </c>
      <c r="I14" s="189"/>
      <c r="J14" s="187" t="s">
        <v>30</v>
      </c>
    </row>
    <row r="15" spans="1:10" ht="15.75" customHeight="1" x14ac:dyDescent="0.25">
      <c r="A15" s="189"/>
      <c r="B15" s="191"/>
      <c r="C15" s="210"/>
      <c r="D15" s="208"/>
      <c r="E15" s="191"/>
      <c r="F15" s="208"/>
      <c r="G15" s="189"/>
      <c r="H15" s="49" t="s">
        <v>3</v>
      </c>
      <c r="I15" s="49" t="s">
        <v>57</v>
      </c>
      <c r="J15" s="188"/>
    </row>
    <row r="16" spans="1:10" ht="16.5" customHeight="1" x14ac:dyDescent="0.25">
      <c r="A16" s="81"/>
      <c r="B16" s="205"/>
      <c r="C16" s="206"/>
      <c r="D16" s="137"/>
      <c r="E16" s="53" t="str">
        <f>'3 SPB'!C10</f>
        <v>HVS F4</v>
      </c>
      <c r="F16" s="125"/>
      <c r="G16" s="76"/>
      <c r="H16" s="90">
        <f>'3 SPB'!J10</f>
        <v>50</v>
      </c>
      <c r="I16" s="62" t="str">
        <f>'3 SPB'!K10</f>
        <v>RIM</v>
      </c>
      <c r="J16" s="62"/>
    </row>
    <row r="17" spans="1:10" x14ac:dyDescent="0.25">
      <c r="A17" s="82"/>
      <c r="B17" s="204"/>
      <c r="C17" s="204"/>
      <c r="D17" s="133"/>
      <c r="E17" s="56"/>
      <c r="F17" s="127"/>
      <c r="G17" s="77"/>
      <c r="H17" s="90"/>
      <c r="I17" s="63"/>
      <c r="J17" s="63"/>
    </row>
    <row r="18" spans="1:10" x14ac:dyDescent="0.25">
      <c r="A18" s="82"/>
      <c r="B18" s="204"/>
      <c r="C18" s="204"/>
      <c r="D18" s="115"/>
      <c r="E18" s="56"/>
      <c r="F18" s="127"/>
      <c r="G18" s="77"/>
      <c r="H18" s="90"/>
      <c r="I18" s="63"/>
      <c r="J18" s="63"/>
    </row>
    <row r="19" spans="1:10" x14ac:dyDescent="0.25">
      <c r="A19" s="82"/>
      <c r="B19" s="204"/>
      <c r="C19" s="204"/>
      <c r="D19" s="115"/>
      <c r="E19" s="56"/>
      <c r="F19" s="127"/>
      <c r="G19" s="77"/>
      <c r="H19" s="90"/>
      <c r="I19" s="63"/>
      <c r="J19" s="63"/>
    </row>
    <row r="20" spans="1:10" x14ac:dyDescent="0.25">
      <c r="A20" s="82"/>
      <c r="B20" s="115"/>
      <c r="C20" s="115"/>
      <c r="D20" s="115"/>
      <c r="E20" s="56"/>
      <c r="F20" s="127"/>
      <c r="G20" s="77"/>
      <c r="H20" s="90"/>
      <c r="I20" s="63"/>
      <c r="J20" s="63"/>
    </row>
    <row r="21" spans="1:10" x14ac:dyDescent="0.25">
      <c r="A21" s="82"/>
      <c r="B21" s="115"/>
      <c r="C21" s="115"/>
      <c r="D21" s="115"/>
      <c r="E21" s="56"/>
      <c r="F21" s="127"/>
      <c r="G21" s="77"/>
      <c r="H21" s="90"/>
      <c r="I21" s="63"/>
      <c r="J21" s="63"/>
    </row>
    <row r="22" spans="1:10" x14ac:dyDescent="0.25">
      <c r="A22" s="82"/>
      <c r="B22" s="115"/>
      <c r="C22" s="115"/>
      <c r="D22" s="115"/>
      <c r="E22" s="56"/>
      <c r="F22" s="127"/>
      <c r="G22" s="77"/>
      <c r="H22" s="90"/>
      <c r="I22" s="63"/>
      <c r="J22" s="63"/>
    </row>
    <row r="23" spans="1:10" x14ac:dyDescent="0.25">
      <c r="A23" s="82"/>
      <c r="B23" s="115"/>
      <c r="C23" s="115"/>
      <c r="D23" s="115"/>
      <c r="E23" s="56"/>
      <c r="F23" s="127"/>
      <c r="G23" s="77"/>
      <c r="H23" s="90"/>
      <c r="I23" s="63"/>
      <c r="J23" s="63"/>
    </row>
    <row r="24" spans="1:10" x14ac:dyDescent="0.25">
      <c r="A24" s="82"/>
      <c r="B24" s="115"/>
      <c r="C24" s="115"/>
      <c r="D24" s="115"/>
      <c r="E24" s="56"/>
      <c r="F24" s="127"/>
      <c r="G24" s="77"/>
      <c r="H24" s="90"/>
      <c r="I24" s="63"/>
      <c r="J24" s="63"/>
    </row>
    <row r="25" spans="1:10" x14ac:dyDescent="0.25">
      <c r="A25" s="82"/>
      <c r="B25" s="115"/>
      <c r="C25" s="115"/>
      <c r="D25" s="115"/>
      <c r="E25" s="56"/>
      <c r="F25" s="127"/>
      <c r="G25" s="77"/>
      <c r="H25" s="90"/>
      <c r="I25" s="63"/>
      <c r="J25" s="63"/>
    </row>
    <row r="26" spans="1:10" x14ac:dyDescent="0.25">
      <c r="A26" s="82"/>
      <c r="B26" s="115"/>
      <c r="C26" s="115"/>
      <c r="D26" s="115"/>
      <c r="E26" s="56"/>
      <c r="F26" s="127"/>
      <c r="G26" s="77"/>
      <c r="H26" s="90"/>
      <c r="I26" s="63"/>
      <c r="J26" s="63"/>
    </row>
    <row r="27" spans="1:10" x14ac:dyDescent="0.25">
      <c r="A27" s="82"/>
      <c r="B27" s="115"/>
      <c r="C27" s="115"/>
      <c r="D27" s="115"/>
      <c r="E27" s="56"/>
      <c r="F27" s="127"/>
      <c r="G27" s="77"/>
      <c r="H27" s="90"/>
      <c r="I27" s="63"/>
      <c r="J27" s="63"/>
    </row>
    <row r="28" spans="1:10" x14ac:dyDescent="0.25">
      <c r="A28" s="82"/>
      <c r="B28" s="115"/>
      <c r="C28" s="115"/>
      <c r="D28" s="115"/>
      <c r="E28" s="56"/>
      <c r="F28" s="127"/>
      <c r="G28" s="77"/>
      <c r="H28" s="90"/>
      <c r="I28" s="63"/>
      <c r="J28" s="63"/>
    </row>
    <row r="29" spans="1:10" x14ac:dyDescent="0.25">
      <c r="A29" s="82"/>
      <c r="B29" s="115"/>
      <c r="C29" s="115"/>
      <c r="D29" s="115"/>
      <c r="E29" s="56"/>
      <c r="F29" s="127"/>
      <c r="G29" s="77"/>
      <c r="H29" s="90"/>
      <c r="I29" s="63"/>
      <c r="J29" s="63"/>
    </row>
    <row r="30" spans="1:10" x14ac:dyDescent="0.25">
      <c r="A30" s="82"/>
      <c r="B30" s="115"/>
      <c r="C30" s="115"/>
      <c r="D30" s="115"/>
      <c r="E30" s="56"/>
      <c r="F30" s="127"/>
      <c r="G30" s="77"/>
      <c r="H30" s="90"/>
      <c r="I30" s="63"/>
      <c r="J30" s="63"/>
    </row>
    <row r="31" spans="1:10" x14ac:dyDescent="0.25">
      <c r="A31" s="82"/>
      <c r="B31" s="115"/>
      <c r="C31" s="115"/>
      <c r="D31" s="115"/>
      <c r="E31" s="56"/>
      <c r="F31" s="127"/>
      <c r="G31" s="77"/>
      <c r="H31" s="90"/>
      <c r="I31" s="63"/>
      <c r="J31" s="63"/>
    </row>
    <row r="32" spans="1:10" x14ac:dyDescent="0.25">
      <c r="A32" s="82"/>
      <c r="B32" s="115"/>
      <c r="C32" s="115"/>
      <c r="D32" s="115"/>
      <c r="E32" s="56"/>
      <c r="F32" s="127"/>
      <c r="G32" s="77"/>
      <c r="H32" s="90"/>
      <c r="I32" s="63"/>
      <c r="J32" s="63"/>
    </row>
    <row r="33" spans="1:10" x14ac:dyDescent="0.25">
      <c r="A33" s="82"/>
      <c r="B33" s="115"/>
      <c r="C33" s="115"/>
      <c r="D33" s="133"/>
      <c r="E33" s="56"/>
      <c r="F33" s="127"/>
      <c r="G33" s="77"/>
      <c r="H33" s="90"/>
      <c r="I33" s="63"/>
      <c r="J33" s="63"/>
    </row>
    <row r="34" spans="1:10" x14ac:dyDescent="0.25">
      <c r="A34" s="82"/>
      <c r="B34" s="115"/>
      <c r="C34" s="115"/>
      <c r="D34" s="115"/>
      <c r="E34" s="56"/>
      <c r="F34" s="127"/>
      <c r="G34" s="77"/>
      <c r="H34" s="90"/>
      <c r="I34" s="63"/>
      <c r="J34" s="63"/>
    </row>
    <row r="35" spans="1:10" x14ac:dyDescent="0.25">
      <c r="A35" s="82"/>
      <c r="B35" s="115"/>
      <c r="C35" s="115"/>
      <c r="D35" s="115"/>
      <c r="E35" s="56"/>
      <c r="F35" s="127"/>
      <c r="G35" s="77"/>
      <c r="H35" s="90"/>
      <c r="I35" s="63"/>
      <c r="J35" s="63"/>
    </row>
    <row r="36" spans="1:10" x14ac:dyDescent="0.25">
      <c r="A36" s="108"/>
      <c r="B36" s="134"/>
      <c r="C36" s="115"/>
      <c r="D36" s="139"/>
      <c r="E36" s="107"/>
      <c r="F36" s="128"/>
      <c r="G36" s="84"/>
      <c r="H36" s="99"/>
      <c r="I36" s="61"/>
      <c r="J36" s="61"/>
    </row>
    <row r="37" spans="1:10" x14ac:dyDescent="0.25">
      <c r="A37" s="115"/>
      <c r="B37" s="115"/>
      <c r="C37" s="115"/>
      <c r="D37" s="115"/>
      <c r="E37" s="47"/>
      <c r="F37" s="47"/>
      <c r="G37" s="116"/>
      <c r="H37" s="90"/>
      <c r="I37" s="117"/>
      <c r="J37" s="117"/>
    </row>
    <row r="38" spans="1:10" x14ac:dyDescent="0.25">
      <c r="A38" s="47"/>
      <c r="G38" s="43" t="s">
        <v>152</v>
      </c>
    </row>
    <row r="39" spans="1:10" x14ac:dyDescent="0.25">
      <c r="E39" s="74" t="s">
        <v>68</v>
      </c>
      <c r="G39" s="66" t="s">
        <v>171</v>
      </c>
    </row>
    <row r="40" spans="1:10" x14ac:dyDescent="0.25">
      <c r="G40" s="66"/>
    </row>
    <row r="41" spans="1:10" x14ac:dyDescent="0.25">
      <c r="A41" s="47"/>
      <c r="G41" s="66"/>
    </row>
    <row r="42" spans="1:10" x14ac:dyDescent="0.25">
      <c r="G42" s="67"/>
    </row>
    <row r="43" spans="1:10" x14ac:dyDescent="0.25">
      <c r="G43" s="67"/>
    </row>
    <row r="44" spans="1:10" x14ac:dyDescent="0.25">
      <c r="G44" s="67" t="s">
        <v>168</v>
      </c>
    </row>
    <row r="45" spans="1:10" x14ac:dyDescent="0.25">
      <c r="G45" s="67" t="s">
        <v>172</v>
      </c>
    </row>
    <row r="46" spans="1:10" x14ac:dyDescent="0.25">
      <c r="G46" s="67"/>
      <c r="H46" s="47"/>
    </row>
    <row r="47" spans="1:10" x14ac:dyDescent="0.25">
      <c r="F47" s="54"/>
    </row>
    <row r="54" spans="6:6" x14ac:dyDescent="0.25">
      <c r="F54" s="47"/>
    </row>
    <row r="55" spans="6:6" x14ac:dyDescent="0.25">
      <c r="F55" s="55"/>
    </row>
  </sheetData>
  <mergeCells count="12">
    <mergeCell ref="B18:C18"/>
    <mergeCell ref="B19:C19"/>
    <mergeCell ref="A7:J7"/>
    <mergeCell ref="A8:J8"/>
    <mergeCell ref="B16:C16"/>
    <mergeCell ref="B17:C17"/>
    <mergeCell ref="J14:J15"/>
    <mergeCell ref="A14:A15"/>
    <mergeCell ref="E14:F15"/>
    <mergeCell ref="G14:G15"/>
    <mergeCell ref="H14:I14"/>
    <mergeCell ref="B14:D15"/>
  </mergeCells>
  <phoneticPr fontId="27" type="noConversion"/>
  <pageMargins left="0.70866141732283472" right="0.35433070866141736" top="0.39370078740157483" bottom="0.47244094488188981" header="0.31496062992125984" footer="0.31496062992125984"/>
  <pageSetup paperSize="20000" scale="90"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33CF-BBCA-49DF-A5F4-068EFFDDDE9C}">
  <dimension ref="A8:J74"/>
  <sheetViews>
    <sheetView showGridLines="0" view="pageBreakPreview" topLeftCell="A26" zoomScaleNormal="100" zoomScaleSheetLayoutView="100" workbookViewId="0">
      <selection activeCell="F19" sqref="F19"/>
    </sheetView>
  </sheetViews>
  <sheetFormatPr defaultColWidth="9.140625" defaultRowHeight="15" x14ac:dyDescent="0.25"/>
  <cols>
    <col min="1" max="1" width="4.28515625" style="43" customWidth="1"/>
    <col min="2" max="2" width="14.28515625" style="43" customWidth="1"/>
    <col min="3" max="3" width="1.85546875" style="43" customWidth="1"/>
    <col min="4" max="4" width="36.5703125" style="43" customWidth="1"/>
    <col min="5" max="5" width="14" style="43" customWidth="1"/>
    <col min="6" max="6" width="8.140625" style="43" customWidth="1"/>
    <col min="7" max="7" width="7.42578125" style="43" customWidth="1"/>
    <col min="8" max="8" width="17" style="43" customWidth="1"/>
    <col min="9" max="16384" width="9.140625" style="43"/>
  </cols>
  <sheetData>
    <row r="8" spans="1:10" x14ac:dyDescent="0.25">
      <c r="A8" s="186" t="s">
        <v>176</v>
      </c>
      <c r="B8" s="186"/>
      <c r="C8" s="186"/>
      <c r="D8" s="186"/>
      <c r="E8" s="186"/>
      <c r="F8" s="186"/>
      <c r="G8" s="186"/>
      <c r="H8" s="186"/>
      <c r="I8" s="164"/>
    </row>
    <row r="9" spans="1:10" x14ac:dyDescent="0.25">
      <c r="A9" s="186" t="s">
        <v>175</v>
      </c>
      <c r="B9" s="186"/>
      <c r="C9" s="186"/>
      <c r="D9" s="186"/>
      <c r="E9" s="186"/>
      <c r="F9" s="186"/>
      <c r="G9" s="186"/>
      <c r="H9" s="186"/>
      <c r="I9" s="164"/>
    </row>
    <row r="10" spans="1:10" x14ac:dyDescent="0.25">
      <c r="A10" s="186" t="s">
        <v>174</v>
      </c>
      <c r="B10" s="186"/>
      <c r="C10" s="186"/>
      <c r="D10" s="186"/>
      <c r="E10" s="186"/>
      <c r="F10" s="186"/>
      <c r="G10" s="186"/>
      <c r="H10" s="186"/>
      <c r="J10" s="43" t="s">
        <v>122</v>
      </c>
    </row>
    <row r="11" spans="1:10" x14ac:dyDescent="0.25">
      <c r="A11" s="163"/>
      <c r="B11" s="163"/>
      <c r="C11" s="163"/>
      <c r="D11" s="163"/>
      <c r="E11" s="163"/>
      <c r="F11" s="163"/>
      <c r="G11" s="163"/>
      <c r="H11" s="163"/>
    </row>
    <row r="12" spans="1:10" ht="30.75" customHeight="1" x14ac:dyDescent="0.25">
      <c r="A12" s="214" t="s">
        <v>192</v>
      </c>
      <c r="B12" s="214"/>
      <c r="C12" s="214"/>
      <c r="D12" s="214"/>
      <c r="E12" s="214"/>
      <c r="F12" s="214"/>
      <c r="G12" s="214"/>
      <c r="H12" s="214"/>
    </row>
    <row r="14" spans="1:10" x14ac:dyDescent="0.25">
      <c r="A14" s="43" t="s">
        <v>39</v>
      </c>
      <c r="B14" s="43" t="s">
        <v>4</v>
      </c>
      <c r="D14" s="43" t="s">
        <v>81</v>
      </c>
    </row>
    <row r="15" spans="1:10" x14ac:dyDescent="0.25">
      <c r="B15" s="43" t="s">
        <v>40</v>
      </c>
      <c r="C15" s="48"/>
      <c r="D15" s="48" t="s">
        <v>23</v>
      </c>
    </row>
    <row r="16" spans="1:10" x14ac:dyDescent="0.25">
      <c r="B16" s="43" t="s">
        <v>41</v>
      </c>
      <c r="D16" s="43" t="s">
        <v>173</v>
      </c>
    </row>
    <row r="17" spans="1:8" x14ac:dyDescent="0.25">
      <c r="B17" s="47" t="s">
        <v>42</v>
      </c>
    </row>
    <row r="18" spans="1:8" ht="3" customHeight="1" x14ac:dyDescent="0.25"/>
    <row r="19" spans="1:8" x14ac:dyDescent="0.25">
      <c r="A19" s="43" t="s">
        <v>43</v>
      </c>
      <c r="B19" s="43" t="s">
        <v>4</v>
      </c>
      <c r="D19" s="43" t="s">
        <v>81</v>
      </c>
    </row>
    <row r="20" spans="1:8" x14ac:dyDescent="0.25">
      <c r="B20" s="43" t="s">
        <v>40</v>
      </c>
      <c r="D20" s="43" t="s">
        <v>81</v>
      </c>
    </row>
    <row r="21" spans="1:8" x14ac:dyDescent="0.25">
      <c r="B21" s="43" t="s">
        <v>58</v>
      </c>
      <c r="D21" s="43" t="s">
        <v>82</v>
      </c>
    </row>
    <row r="22" spans="1:8" x14ac:dyDescent="0.25">
      <c r="B22" s="43" t="s">
        <v>59</v>
      </c>
    </row>
    <row r="23" spans="1:8" x14ac:dyDescent="0.25">
      <c r="B23" s="43" t="s">
        <v>60</v>
      </c>
    </row>
    <row r="25" spans="1:8" ht="30.6" customHeight="1" x14ac:dyDescent="0.25">
      <c r="A25" s="215" t="s">
        <v>193</v>
      </c>
      <c r="B25" s="215"/>
      <c r="C25" s="215"/>
      <c r="D25" s="215"/>
      <c r="E25" s="215"/>
      <c r="F25" s="215"/>
      <c r="G25" s="215"/>
      <c r="H25" s="215"/>
    </row>
    <row r="27" spans="1:8" ht="16.5" customHeight="1" x14ac:dyDescent="0.25">
      <c r="A27" s="189" t="s">
        <v>1</v>
      </c>
      <c r="B27" s="189" t="s">
        <v>5</v>
      </c>
      <c r="C27" s="189"/>
      <c r="D27" s="190" t="s">
        <v>2</v>
      </c>
      <c r="E27" s="189" t="s">
        <v>11</v>
      </c>
      <c r="F27" s="187" t="s">
        <v>3</v>
      </c>
      <c r="G27" s="187" t="s">
        <v>57</v>
      </c>
      <c r="H27" s="187" t="s">
        <v>30</v>
      </c>
    </row>
    <row r="28" spans="1:8" x14ac:dyDescent="0.25">
      <c r="A28" s="189"/>
      <c r="B28" s="189"/>
      <c r="C28" s="189"/>
      <c r="D28" s="191"/>
      <c r="E28" s="189"/>
      <c r="F28" s="188"/>
      <c r="G28" s="188"/>
      <c r="H28" s="188"/>
    </row>
    <row r="29" spans="1:8" ht="16.5" customHeight="1" x14ac:dyDescent="0.25">
      <c r="A29" s="81"/>
      <c r="B29" s="205"/>
      <c r="C29" s="205"/>
      <c r="D29" s="124" t="str">
        <f>'4 SPPB'!E16</f>
        <v>HVS F4</v>
      </c>
      <c r="E29" s="58"/>
      <c r="F29" s="90">
        <f>'4 SPPB'!H16</f>
        <v>50</v>
      </c>
      <c r="G29" s="62" t="str">
        <f>'4 SPPB'!I16</f>
        <v>RIM</v>
      </c>
      <c r="H29" s="62"/>
    </row>
    <row r="30" spans="1:8" ht="16.5" customHeight="1" x14ac:dyDescent="0.25">
      <c r="A30" s="82"/>
      <c r="B30" s="211"/>
      <c r="C30" s="212"/>
      <c r="D30" s="47"/>
      <c r="E30" s="60"/>
      <c r="F30" s="90"/>
      <c r="G30" s="63"/>
      <c r="H30" s="63"/>
    </row>
    <row r="31" spans="1:8" ht="16.5" customHeight="1" x14ac:dyDescent="0.25">
      <c r="A31" s="82"/>
      <c r="B31" s="213"/>
      <c r="C31" s="213"/>
      <c r="D31" s="47"/>
      <c r="E31" s="60"/>
      <c r="F31" s="90"/>
      <c r="G31" s="63"/>
      <c r="H31" s="63"/>
    </row>
    <row r="32" spans="1:8" ht="16.5" customHeight="1" x14ac:dyDescent="0.25">
      <c r="A32" s="82"/>
      <c r="B32" s="211"/>
      <c r="C32" s="212"/>
      <c r="D32" s="47"/>
      <c r="E32" s="60"/>
      <c r="F32" s="90"/>
      <c r="G32" s="63"/>
      <c r="H32" s="63"/>
    </row>
    <row r="33" spans="1:8" ht="16.5" customHeight="1" x14ac:dyDescent="0.25">
      <c r="A33" s="82"/>
      <c r="B33" s="213"/>
      <c r="C33" s="213"/>
      <c r="D33" s="47"/>
      <c r="E33" s="60"/>
      <c r="F33" s="90"/>
      <c r="G33" s="63"/>
      <c r="H33" s="63"/>
    </row>
    <row r="34" spans="1:8" ht="16.5" customHeight="1" x14ac:dyDescent="0.25">
      <c r="A34" s="82"/>
      <c r="B34" s="211"/>
      <c r="C34" s="212"/>
      <c r="D34" s="47"/>
      <c r="E34" s="60"/>
      <c r="F34" s="90"/>
      <c r="G34" s="63"/>
      <c r="H34" s="63"/>
    </row>
    <row r="35" spans="1:8" ht="16.5" customHeight="1" x14ac:dyDescent="0.25">
      <c r="A35" s="82"/>
      <c r="B35" s="213"/>
      <c r="C35" s="213"/>
      <c r="D35" s="47"/>
      <c r="E35" s="60"/>
      <c r="F35" s="90"/>
      <c r="G35" s="63"/>
      <c r="H35" s="63"/>
    </row>
    <row r="36" spans="1:8" ht="16.5" customHeight="1" x14ac:dyDescent="0.25">
      <c r="A36" s="82"/>
      <c r="B36" s="211"/>
      <c r="C36" s="212"/>
      <c r="D36" s="47"/>
      <c r="E36" s="60"/>
      <c r="F36" s="90"/>
      <c r="G36" s="63"/>
      <c r="H36" s="63"/>
    </row>
    <row r="37" spans="1:8" ht="16.5" customHeight="1" x14ac:dyDescent="0.25">
      <c r="A37" s="82"/>
      <c r="B37" s="213"/>
      <c r="C37" s="213"/>
      <c r="D37" s="47"/>
      <c r="E37" s="60"/>
      <c r="F37" s="90"/>
      <c r="G37" s="63"/>
      <c r="H37" s="63"/>
    </row>
    <row r="38" spans="1:8" ht="16.5" customHeight="1" x14ac:dyDescent="0.25">
      <c r="A38" s="82"/>
      <c r="B38" s="211"/>
      <c r="C38" s="212"/>
      <c r="D38" s="47"/>
      <c r="E38" s="60"/>
      <c r="F38" s="90"/>
      <c r="G38" s="63"/>
      <c r="H38" s="63"/>
    </row>
    <row r="39" spans="1:8" ht="16.5" customHeight="1" x14ac:dyDescent="0.25">
      <c r="A39" s="82"/>
      <c r="B39" s="213"/>
      <c r="C39" s="213"/>
      <c r="D39" s="47"/>
      <c r="E39" s="60"/>
      <c r="F39" s="90"/>
      <c r="G39" s="63"/>
      <c r="H39" s="63"/>
    </row>
    <row r="40" spans="1:8" ht="16.5" customHeight="1" x14ac:dyDescent="0.25">
      <c r="A40" s="82"/>
      <c r="B40" s="211"/>
      <c r="C40" s="212"/>
      <c r="D40" s="47"/>
      <c r="E40" s="60"/>
      <c r="F40" s="90"/>
      <c r="G40" s="63"/>
      <c r="H40" s="63"/>
    </row>
    <row r="41" spans="1:8" ht="16.5" customHeight="1" x14ac:dyDescent="0.25">
      <c r="A41" s="82"/>
      <c r="B41" s="213"/>
      <c r="C41" s="213"/>
      <c r="D41" s="47"/>
      <c r="E41" s="60"/>
      <c r="F41" s="90"/>
      <c r="G41" s="63"/>
      <c r="H41" s="63"/>
    </row>
    <row r="42" spans="1:8" ht="16.5" customHeight="1" x14ac:dyDescent="0.25">
      <c r="A42" s="82"/>
      <c r="B42" s="132"/>
      <c r="C42" s="133"/>
      <c r="D42" s="47"/>
      <c r="E42" s="60"/>
      <c r="F42" s="90"/>
      <c r="G42" s="63"/>
      <c r="H42" s="63"/>
    </row>
    <row r="43" spans="1:8" ht="16.5" customHeight="1" x14ac:dyDescent="0.25">
      <c r="A43" s="82"/>
      <c r="B43" s="132"/>
      <c r="C43" s="133"/>
      <c r="D43" s="47"/>
      <c r="E43" s="60"/>
      <c r="F43" s="90"/>
      <c r="G43" s="63"/>
      <c r="H43" s="63"/>
    </row>
    <row r="44" spans="1:8" ht="16.5" customHeight="1" x14ac:dyDescent="0.25">
      <c r="A44" s="82"/>
      <c r="B44" s="132"/>
      <c r="C44" s="133"/>
      <c r="D44" s="47"/>
      <c r="E44" s="60"/>
      <c r="F44" s="90"/>
      <c r="G44" s="63"/>
      <c r="H44" s="63"/>
    </row>
    <row r="45" spans="1:8" ht="16.5" customHeight="1" x14ac:dyDescent="0.25">
      <c r="A45" s="82"/>
      <c r="B45" s="132"/>
      <c r="C45" s="133"/>
      <c r="D45" s="47"/>
      <c r="E45" s="60"/>
      <c r="F45" s="90"/>
      <c r="G45" s="63"/>
      <c r="H45" s="63"/>
    </row>
    <row r="46" spans="1:8" ht="16.5" customHeight="1" x14ac:dyDescent="0.25">
      <c r="A46" s="82"/>
      <c r="B46" s="132"/>
      <c r="C46" s="133"/>
      <c r="D46" s="47"/>
      <c r="E46" s="60"/>
      <c r="F46" s="90"/>
      <c r="G46" s="63"/>
      <c r="H46" s="63"/>
    </row>
    <row r="47" spans="1:8" ht="16.5" customHeight="1" x14ac:dyDescent="0.25">
      <c r="A47" s="82"/>
      <c r="B47" s="132"/>
      <c r="C47" s="133"/>
      <c r="D47" s="47"/>
      <c r="E47" s="60"/>
      <c r="F47" s="90"/>
      <c r="G47" s="63"/>
      <c r="H47" s="63"/>
    </row>
    <row r="48" spans="1:8" ht="16.5" customHeight="1" x14ac:dyDescent="0.25">
      <c r="A48" s="82"/>
      <c r="B48" s="132"/>
      <c r="C48" s="133"/>
      <c r="D48" s="47"/>
      <c r="E48" s="60"/>
      <c r="F48" s="90"/>
      <c r="G48" s="63"/>
      <c r="H48" s="63"/>
    </row>
    <row r="49" spans="1:8" ht="16.5" customHeight="1" x14ac:dyDescent="0.25">
      <c r="A49" s="108"/>
      <c r="B49" s="134"/>
      <c r="C49" s="135"/>
      <c r="D49" s="131"/>
      <c r="E49" s="59"/>
      <c r="F49" s="99"/>
      <c r="G49" s="61"/>
      <c r="H49" s="61"/>
    </row>
    <row r="50" spans="1:8" ht="10.5" customHeight="1" x14ac:dyDescent="0.25">
      <c r="A50" s="47"/>
      <c r="E50" s="47"/>
    </row>
    <row r="51" spans="1:8" x14ac:dyDescent="0.25">
      <c r="A51" s="43" t="s">
        <v>61</v>
      </c>
    </row>
    <row r="53" spans="1:8" x14ac:dyDescent="0.25">
      <c r="B53" s="46" t="s">
        <v>44</v>
      </c>
      <c r="F53" s="46" t="s">
        <v>62</v>
      </c>
    </row>
    <row r="58" spans="1:8" x14ac:dyDescent="0.25">
      <c r="B58" s="46" t="s">
        <v>168</v>
      </c>
      <c r="F58" s="69" t="s">
        <v>168</v>
      </c>
    </row>
    <row r="59" spans="1:8" x14ac:dyDescent="0.25">
      <c r="B59" s="46" t="s">
        <v>169</v>
      </c>
      <c r="F59" s="46" t="s">
        <v>169</v>
      </c>
    </row>
    <row r="62" spans="1:8" x14ac:dyDescent="0.25">
      <c r="A62" s="47"/>
    </row>
    <row r="70" spans="1:2" x14ac:dyDescent="0.25">
      <c r="B70" s="46"/>
    </row>
    <row r="74" spans="1:2" x14ac:dyDescent="0.25">
      <c r="A74" s="47"/>
    </row>
  </sheetData>
  <mergeCells count="25"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A8:H8"/>
    <mergeCell ref="A9:H9"/>
    <mergeCell ref="A10:H10"/>
    <mergeCell ref="B40:C40"/>
    <mergeCell ref="B41:C41"/>
    <mergeCell ref="A12:H12"/>
    <mergeCell ref="A25:H25"/>
    <mergeCell ref="H27:H28"/>
    <mergeCell ref="B29:C29"/>
    <mergeCell ref="G27:G28"/>
    <mergeCell ref="A27:A28"/>
    <mergeCell ref="B27:C28"/>
    <mergeCell ref="D27:D28"/>
    <mergeCell ref="E27:E28"/>
    <mergeCell ref="F27:F28"/>
    <mergeCell ref="B35:C35"/>
  </mergeCells>
  <pageMargins left="0.70866141732283472" right="0.35433070866141736" top="0.39370078740157483" bottom="0.47244094488188981" header="0.31496062992125984" footer="0.31496062992125984"/>
  <pageSetup paperSize="20000" scale="84" orientation="portrait" horizont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49B8-55EF-4E84-9C29-0347EBB6A082}">
  <sheetPr>
    <tabColor rgb="FFFF0000"/>
  </sheetPr>
  <dimension ref="A1:Q43"/>
  <sheetViews>
    <sheetView view="pageBreakPreview" zoomScale="130" zoomScaleNormal="100" zoomScaleSheetLayoutView="100" workbookViewId="0">
      <selection sqref="A1:XFD1"/>
    </sheetView>
  </sheetViews>
  <sheetFormatPr defaultRowHeight="15" x14ac:dyDescent="0.25"/>
  <cols>
    <col min="1" max="1" width="4.7109375" customWidth="1"/>
    <col min="3" max="3" width="9.140625" customWidth="1"/>
    <col min="4" max="4" width="14.28515625" customWidth="1"/>
    <col min="5" max="5" width="11.42578125" customWidth="1"/>
    <col min="6" max="6" width="15.85546875" customWidth="1"/>
    <col min="8" max="8" width="23" customWidth="1"/>
    <col min="9" max="9" width="10.7109375" customWidth="1"/>
    <col min="12" max="12" width="15.5703125" customWidth="1"/>
    <col min="13" max="13" width="19" customWidth="1"/>
    <col min="15" max="15" width="12.28515625" customWidth="1"/>
  </cols>
  <sheetData>
    <row r="1" spans="1:17" ht="15.75" x14ac:dyDescent="0.25">
      <c r="A1" s="172" t="s">
        <v>145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spans="1:17" ht="15.75" x14ac:dyDescent="0.25">
      <c r="A2" s="172" t="s">
        <v>80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7" x14ac:dyDescent="0.25">
      <c r="A3" s="1"/>
    </row>
    <row r="4" spans="1:17" s="3" customFormat="1" x14ac:dyDescent="0.25">
      <c r="A4" s="174" t="s">
        <v>14</v>
      </c>
      <c r="B4" s="174"/>
      <c r="C4" s="174"/>
      <c r="D4" s="174"/>
      <c r="E4" s="3" t="s">
        <v>82</v>
      </c>
    </row>
    <row r="5" spans="1:17" s="3" customFormat="1" x14ac:dyDescent="0.25">
      <c r="A5" s="174" t="s">
        <v>15</v>
      </c>
      <c r="B5" s="174"/>
      <c r="C5" s="174"/>
      <c r="D5" s="174"/>
      <c r="E5" s="3" t="s">
        <v>19</v>
      </c>
    </row>
    <row r="8" spans="1:17" ht="15" customHeight="1" x14ac:dyDescent="0.25">
      <c r="A8" s="173" t="s">
        <v>1</v>
      </c>
      <c r="B8" s="173" t="s">
        <v>10</v>
      </c>
      <c r="C8" s="173"/>
      <c r="D8" s="173"/>
      <c r="E8" s="173" t="s">
        <v>5</v>
      </c>
      <c r="F8" s="173" t="s">
        <v>2</v>
      </c>
      <c r="G8" s="173" t="s">
        <v>11</v>
      </c>
      <c r="H8" s="173"/>
      <c r="I8" s="173"/>
      <c r="J8" s="173" t="s">
        <v>8</v>
      </c>
      <c r="K8" s="173" t="s">
        <v>12</v>
      </c>
      <c r="L8" s="173" t="s">
        <v>16</v>
      </c>
      <c r="M8" s="173" t="s">
        <v>13</v>
      </c>
    </row>
    <row r="9" spans="1:17" ht="28.5" x14ac:dyDescent="0.25">
      <c r="A9" s="173"/>
      <c r="B9" s="4" t="s">
        <v>9</v>
      </c>
      <c r="C9" s="4" t="s">
        <v>0</v>
      </c>
      <c r="D9" s="4" t="s">
        <v>4</v>
      </c>
      <c r="E9" s="173"/>
      <c r="F9" s="173"/>
      <c r="G9" s="4" t="s">
        <v>6</v>
      </c>
      <c r="H9" s="4" t="s">
        <v>7</v>
      </c>
      <c r="I9" s="5" t="s">
        <v>3</v>
      </c>
      <c r="J9" s="173"/>
      <c r="K9" s="173"/>
      <c r="L9" s="173"/>
      <c r="M9" s="173"/>
    </row>
    <row r="10" spans="1:17" ht="21" x14ac:dyDescent="0.25">
      <c r="A10" s="70"/>
      <c r="B10" s="91" t="s">
        <v>154</v>
      </c>
      <c r="C10" s="15" t="s">
        <v>155</v>
      </c>
      <c r="D10" s="15" t="s">
        <v>155</v>
      </c>
      <c r="E10" s="73"/>
      <c r="F10" s="15" t="s">
        <v>149</v>
      </c>
      <c r="G10" s="15"/>
      <c r="H10" s="15"/>
      <c r="I10" s="71">
        <v>50</v>
      </c>
      <c r="J10" s="97" t="s">
        <v>151</v>
      </c>
      <c r="K10" s="72">
        <v>50000</v>
      </c>
      <c r="L10" s="104">
        <f>I10*K10</f>
        <v>2500000</v>
      </c>
      <c r="M10" s="2"/>
      <c r="O10" s="83"/>
      <c r="P10" s="83"/>
      <c r="Q10" s="83"/>
    </row>
    <row r="11" spans="1:17" x14ac:dyDescent="0.25">
      <c r="A11" s="70"/>
      <c r="B11" s="91"/>
      <c r="C11" s="15"/>
      <c r="D11" s="15"/>
      <c r="E11" s="73"/>
      <c r="F11" s="15"/>
      <c r="G11" s="15"/>
      <c r="H11" s="15"/>
      <c r="I11" s="71"/>
      <c r="J11" s="97"/>
      <c r="K11" s="72"/>
      <c r="L11" s="104"/>
      <c r="M11" s="2"/>
      <c r="O11" s="83"/>
      <c r="P11" s="83"/>
    </row>
    <row r="12" spans="1:17" x14ac:dyDescent="0.25">
      <c r="A12" s="70"/>
      <c r="B12" s="91"/>
      <c r="C12" s="15"/>
      <c r="D12" s="15"/>
      <c r="E12" s="73"/>
      <c r="F12" s="15"/>
      <c r="G12" s="15"/>
      <c r="H12" s="15"/>
      <c r="I12" s="71"/>
      <c r="J12" s="97"/>
      <c r="K12" s="72"/>
      <c r="L12" s="104"/>
      <c r="M12" s="2"/>
    </row>
    <row r="13" spans="1:17" x14ac:dyDescent="0.25">
      <c r="A13" s="70"/>
      <c r="B13" s="91"/>
      <c r="C13" s="15"/>
      <c r="D13" s="15"/>
      <c r="E13" s="73"/>
      <c r="F13" s="15"/>
      <c r="G13" s="15"/>
      <c r="H13" s="15"/>
      <c r="I13" s="71"/>
      <c r="J13" s="97"/>
      <c r="K13" s="72"/>
      <c r="L13" s="104"/>
      <c r="M13" s="2"/>
    </row>
    <row r="14" spans="1:17" x14ac:dyDescent="0.25">
      <c r="A14" s="70"/>
      <c r="B14" s="91"/>
      <c r="C14" s="15"/>
      <c r="D14" s="15"/>
      <c r="E14" s="73"/>
      <c r="F14" s="15"/>
      <c r="G14" s="15"/>
      <c r="H14" s="15"/>
      <c r="I14" s="71"/>
      <c r="J14" s="97"/>
      <c r="K14" s="72"/>
      <c r="L14" s="104"/>
      <c r="M14" s="2"/>
    </row>
    <row r="15" spans="1:17" x14ac:dyDescent="0.25">
      <c r="A15" s="70"/>
      <c r="B15" s="91"/>
      <c r="C15" s="15"/>
      <c r="D15" s="15"/>
      <c r="E15" s="73"/>
      <c r="F15" s="15"/>
      <c r="G15" s="15"/>
      <c r="H15" s="15"/>
      <c r="I15" s="71"/>
      <c r="J15" s="97"/>
      <c r="K15" s="72"/>
      <c r="L15" s="104"/>
      <c r="M15" s="2"/>
    </row>
    <row r="16" spans="1:17" x14ac:dyDescent="0.25">
      <c r="A16" s="169" t="s">
        <v>73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1"/>
      <c r="L16" s="105">
        <f>SUM(L10:L15)</f>
        <v>2500000</v>
      </c>
      <c r="M16" s="75"/>
    </row>
    <row r="17" spans="1:13" x14ac:dyDescent="0.25">
      <c r="A17" s="10"/>
      <c r="B17" s="9"/>
      <c r="C17" s="9"/>
      <c r="D17" s="9"/>
      <c r="L17" s="103"/>
    </row>
    <row r="18" spans="1:13" x14ac:dyDescent="0.25">
      <c r="A18" s="85" t="s">
        <v>71</v>
      </c>
      <c r="B18" s="85"/>
      <c r="C18" s="85"/>
      <c r="D18" s="85"/>
      <c r="E18" s="85"/>
      <c r="H18" s="181" t="s">
        <v>79</v>
      </c>
      <c r="I18" s="181"/>
      <c r="J18" s="181"/>
      <c r="K18" s="181"/>
      <c r="L18" s="181"/>
      <c r="M18" s="181"/>
    </row>
    <row r="19" spans="1:13" x14ac:dyDescent="0.25">
      <c r="A19" s="85" t="s">
        <v>76</v>
      </c>
      <c r="B19" s="85"/>
      <c r="C19" s="85"/>
      <c r="D19" s="85"/>
      <c r="E19" s="85"/>
      <c r="H19" s="180" t="s">
        <v>77</v>
      </c>
      <c r="I19" s="180"/>
      <c r="J19" s="180"/>
      <c r="K19" s="180"/>
      <c r="L19" s="180"/>
      <c r="M19" s="180"/>
    </row>
    <row r="20" spans="1:13" s="13" customFormat="1" x14ac:dyDescent="0.25">
      <c r="A20" s="180"/>
      <c r="B20" s="180"/>
      <c r="C20" s="180"/>
      <c r="D20" s="180"/>
      <c r="E20" s="180"/>
    </row>
    <row r="21" spans="1:13" x14ac:dyDescent="0.25">
      <c r="B21" s="9"/>
      <c r="C21" s="9"/>
      <c r="D21" s="9"/>
    </row>
    <row r="22" spans="1:13" x14ac:dyDescent="0.25">
      <c r="A22" s="14"/>
      <c r="B22" s="9"/>
      <c r="C22" s="9"/>
      <c r="D22" s="9"/>
    </row>
    <row r="23" spans="1:13" x14ac:dyDescent="0.25">
      <c r="A23" s="10"/>
      <c r="B23" s="9"/>
      <c r="C23" s="9"/>
      <c r="D23" s="9"/>
    </row>
    <row r="24" spans="1:13" x14ac:dyDescent="0.25">
      <c r="A24" s="182"/>
      <c r="B24" s="182"/>
      <c r="C24" s="182"/>
      <c r="D24" s="182"/>
      <c r="E24" s="182"/>
      <c r="I24" s="184" t="s">
        <v>94</v>
      </c>
      <c r="J24" s="184"/>
      <c r="K24" s="184"/>
      <c r="L24" s="184"/>
    </row>
    <row r="25" spans="1:13" x14ac:dyDescent="0.25">
      <c r="A25" s="183" t="s">
        <v>83</v>
      </c>
      <c r="B25" s="183"/>
      <c r="C25" s="183"/>
      <c r="D25" s="183"/>
      <c r="E25" s="183"/>
      <c r="I25" s="185" t="s">
        <v>84</v>
      </c>
      <c r="J25" s="185"/>
      <c r="K25" s="185"/>
      <c r="L25" s="185"/>
    </row>
    <row r="26" spans="1:13" x14ac:dyDescent="0.25">
      <c r="A26" s="176"/>
      <c r="B26" s="176"/>
      <c r="C26" s="176"/>
      <c r="D26" s="176"/>
      <c r="E26" s="176"/>
      <c r="I26" s="8"/>
      <c r="M26" s="8"/>
    </row>
    <row r="27" spans="1:13" x14ac:dyDescent="0.25">
      <c r="A27" s="8"/>
      <c r="B27" s="8"/>
      <c r="C27" s="8"/>
      <c r="D27" s="8"/>
      <c r="E27" s="8"/>
      <c r="H27" s="13"/>
      <c r="I27" s="13"/>
      <c r="J27" s="13"/>
      <c r="K27" s="13"/>
      <c r="L27" s="13"/>
      <c r="M27" s="8"/>
    </row>
    <row r="28" spans="1:13" x14ac:dyDescent="0.25">
      <c r="A28" s="8"/>
      <c r="B28" s="8"/>
      <c r="C28" s="8"/>
      <c r="D28" s="8" t="s">
        <v>17</v>
      </c>
      <c r="E28" s="8"/>
      <c r="M28" s="16"/>
    </row>
    <row r="29" spans="1:13" ht="15" customHeight="1" x14ac:dyDescent="0.25">
      <c r="A29" s="10"/>
      <c r="B29" s="10"/>
      <c r="C29" s="11"/>
      <c r="D29" s="8"/>
      <c r="E29" s="8"/>
      <c r="H29" s="179"/>
      <c r="I29" s="179"/>
      <c r="J29" s="179"/>
      <c r="K29" s="179"/>
      <c r="L29" s="179"/>
      <c r="M29" s="179"/>
    </row>
    <row r="30" spans="1:13" ht="15" customHeight="1" x14ac:dyDescent="0.25">
      <c r="A30" s="10"/>
      <c r="B30" s="10"/>
      <c r="C30" s="11"/>
      <c r="D30" s="8"/>
      <c r="E30" s="16"/>
      <c r="H30" s="176"/>
      <c r="I30" s="176"/>
      <c r="J30" s="176"/>
      <c r="K30" s="176"/>
      <c r="L30" s="176"/>
      <c r="M30" s="176"/>
    </row>
    <row r="31" spans="1:13" x14ac:dyDescent="0.25">
      <c r="A31" s="177"/>
      <c r="B31" s="178"/>
      <c r="C31" s="178"/>
      <c r="D31" s="178"/>
      <c r="E31" s="178"/>
      <c r="H31" s="176"/>
      <c r="I31" s="176"/>
      <c r="J31" s="176"/>
      <c r="K31" s="176"/>
      <c r="L31" s="176"/>
      <c r="M31" s="176"/>
    </row>
    <row r="32" spans="1:13" ht="15" customHeight="1" x14ac:dyDescent="0.25">
      <c r="A32" s="175"/>
      <c r="B32" s="175"/>
      <c r="C32" s="175"/>
      <c r="D32" s="175"/>
      <c r="E32" s="175"/>
    </row>
    <row r="35" spans="1:13" x14ac:dyDescent="0.25">
      <c r="A35" s="176"/>
      <c r="B35" s="176"/>
      <c r="C35" s="176"/>
      <c r="D35" s="176"/>
      <c r="E35" s="176"/>
      <c r="H35" s="176"/>
      <c r="I35" s="176"/>
      <c r="J35" s="176"/>
      <c r="K35" s="176"/>
      <c r="L35" s="176"/>
      <c r="M35" s="176"/>
    </row>
    <row r="36" spans="1:13" x14ac:dyDescent="0.25">
      <c r="A36" s="176"/>
      <c r="B36" s="176"/>
      <c r="C36" s="176"/>
      <c r="D36" s="176"/>
      <c r="E36" s="176"/>
      <c r="M36" s="8"/>
    </row>
    <row r="37" spans="1:13" x14ac:dyDescent="0.25">
      <c r="A37" s="176"/>
      <c r="B37" s="176"/>
      <c r="C37" s="176"/>
      <c r="D37" s="176"/>
      <c r="E37" s="176"/>
      <c r="M37" s="8"/>
    </row>
    <row r="38" spans="1:13" x14ac:dyDescent="0.25">
      <c r="A38" s="8"/>
      <c r="B38" s="8"/>
      <c r="C38" s="8"/>
      <c r="D38" s="8"/>
      <c r="E38" s="8"/>
      <c r="H38" s="13"/>
      <c r="I38" s="13"/>
      <c r="J38" s="13"/>
      <c r="K38" s="13"/>
      <c r="L38" s="13"/>
      <c r="M38" s="8"/>
    </row>
    <row r="39" spans="1:13" x14ac:dyDescent="0.25">
      <c r="A39" s="8"/>
      <c r="B39" s="8"/>
      <c r="C39" s="8"/>
      <c r="D39" s="8"/>
      <c r="E39" s="8"/>
      <c r="M39" s="16"/>
    </row>
    <row r="40" spans="1:13" x14ac:dyDescent="0.25">
      <c r="A40" s="10"/>
      <c r="B40" s="10"/>
      <c r="C40" s="11"/>
      <c r="D40" s="8"/>
      <c r="E40" s="8"/>
      <c r="H40" s="179"/>
      <c r="I40" s="179"/>
      <c r="J40" s="179"/>
      <c r="K40" s="179"/>
      <c r="L40" s="179"/>
      <c r="M40" s="179"/>
    </row>
    <row r="41" spans="1:13" x14ac:dyDescent="0.25">
      <c r="A41" s="10"/>
      <c r="B41" s="10"/>
      <c r="C41" s="11"/>
      <c r="D41" s="8"/>
      <c r="E41" s="16"/>
      <c r="H41" s="176"/>
      <c r="I41" s="176"/>
      <c r="J41" s="176"/>
      <c r="K41" s="176"/>
      <c r="L41" s="176"/>
      <c r="M41" s="176"/>
    </row>
    <row r="42" spans="1:13" x14ac:dyDescent="0.25">
      <c r="A42" s="177"/>
      <c r="B42" s="178"/>
      <c r="C42" s="178"/>
      <c r="D42" s="178"/>
      <c r="E42" s="178"/>
    </row>
    <row r="43" spans="1:13" x14ac:dyDescent="0.25">
      <c r="A43" s="175"/>
      <c r="B43" s="175"/>
      <c r="C43" s="175"/>
      <c r="D43" s="175"/>
      <c r="E43" s="175"/>
    </row>
  </sheetData>
  <mergeCells count="35">
    <mergeCell ref="A43:E43"/>
    <mergeCell ref="H29:M29"/>
    <mergeCell ref="H30:M30"/>
    <mergeCell ref="A31:E31"/>
    <mergeCell ref="H31:M31"/>
    <mergeCell ref="A32:E32"/>
    <mergeCell ref="A35:E35"/>
    <mergeCell ref="H35:M35"/>
    <mergeCell ref="A36:E36"/>
    <mergeCell ref="A37:E37"/>
    <mergeCell ref="H40:M40"/>
    <mergeCell ref="H41:M41"/>
    <mergeCell ref="A42:E42"/>
    <mergeCell ref="A26:E26"/>
    <mergeCell ref="K8:K9"/>
    <mergeCell ref="L8:L9"/>
    <mergeCell ref="M8:M9"/>
    <mergeCell ref="A16:K16"/>
    <mergeCell ref="H18:M18"/>
    <mergeCell ref="H19:M19"/>
    <mergeCell ref="A20:E20"/>
    <mergeCell ref="A24:E24"/>
    <mergeCell ref="I24:L24"/>
    <mergeCell ref="A25:E25"/>
    <mergeCell ref="I25:L25"/>
    <mergeCell ref="A1:M1"/>
    <mergeCell ref="A2:M2"/>
    <mergeCell ref="A4:D4"/>
    <mergeCell ref="A5:D5"/>
    <mergeCell ref="A8:A9"/>
    <mergeCell ref="B8:D8"/>
    <mergeCell ref="E8:E9"/>
    <mergeCell ref="F8:F9"/>
    <mergeCell ref="G8:I8"/>
    <mergeCell ref="J8:J9"/>
  </mergeCells>
  <pageMargins left="0.46" right="0.11811023622047245" top="0.27559055118110237" bottom="0.39370078740157483" header="0.12" footer="0.31496062992125984"/>
  <pageSetup paperSize="20000" scale="95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55BC-3386-404A-AAF6-2C2EB18C51DF}">
  <sheetPr>
    <tabColor rgb="FFFF0000"/>
  </sheetPr>
  <dimension ref="A1:U27"/>
  <sheetViews>
    <sheetView view="pageBreakPreview" zoomScale="156" zoomScaleNormal="100" zoomScaleSheetLayoutView="130" workbookViewId="0">
      <selection activeCell="L6" sqref="L6"/>
    </sheetView>
  </sheetViews>
  <sheetFormatPr defaultRowHeight="15" x14ac:dyDescent="0.25"/>
  <cols>
    <col min="1" max="1" width="15.28515625" customWidth="1"/>
    <col min="2" max="2" width="14.5703125" hidden="1" customWidth="1"/>
    <col min="3" max="3" width="29.5703125" hidden="1" customWidth="1"/>
    <col min="4" max="4" width="14" hidden="1" customWidth="1"/>
    <col min="5" max="5" width="9.140625" customWidth="1"/>
    <col min="6" max="6" width="15.7109375" customWidth="1"/>
    <col min="7" max="7" width="22.42578125" customWidth="1"/>
    <col min="8" max="8" width="9.28515625" customWidth="1"/>
    <col min="9" max="9" width="15.85546875" customWidth="1"/>
    <col min="10" max="10" width="21.85546875" customWidth="1"/>
    <col min="11" max="11" width="11.7109375" customWidth="1"/>
    <col min="12" max="12" width="14.28515625" customWidth="1"/>
    <col min="13" max="13" width="19.85546875" customWidth="1"/>
    <col min="15" max="15" width="13" customWidth="1"/>
  </cols>
  <sheetData>
    <row r="1" spans="1:17" ht="23.25" customHeight="1" x14ac:dyDescent="0.3">
      <c r="A1" s="216" t="s">
        <v>31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</row>
    <row r="3" spans="1:17" x14ac:dyDescent="0.25">
      <c r="A3" s="28" t="s">
        <v>32</v>
      </c>
      <c r="B3" s="28" t="s">
        <v>81</v>
      </c>
      <c r="C3" s="28"/>
      <c r="D3" s="28"/>
    </row>
    <row r="4" spans="1:17" x14ac:dyDescent="0.25">
      <c r="A4" t="s">
        <v>33</v>
      </c>
      <c r="B4" t="str">
        <f>":"&amp;" "&amp;O9</f>
        <v xml:space="preserve">: </v>
      </c>
      <c r="E4" t="s">
        <v>149</v>
      </c>
      <c r="G4" t="s">
        <v>17</v>
      </c>
      <c r="O4" s="28"/>
    </row>
    <row r="5" spans="1:17" x14ac:dyDescent="0.25">
      <c r="A5" t="s">
        <v>8</v>
      </c>
      <c r="B5" s="28" t="e">
        <f>":"&amp;" "&amp;VLOOKUP(O9,#REF!,7,0)</f>
        <v>#REF!</v>
      </c>
      <c r="E5" t="s">
        <v>151</v>
      </c>
      <c r="F5" s="28"/>
      <c r="O5" s="28"/>
      <c r="P5" s="28"/>
      <c r="Q5" s="28"/>
    </row>
    <row r="6" spans="1:17" x14ac:dyDescent="0.25">
      <c r="E6" s="28"/>
    </row>
    <row r="8" spans="1:17" s="3" customFormat="1" ht="15" customHeight="1" x14ac:dyDescent="0.25">
      <c r="A8" s="217" t="s">
        <v>9</v>
      </c>
      <c r="B8" s="219" t="s">
        <v>142</v>
      </c>
      <c r="C8" s="219"/>
      <c r="D8" s="219" t="s">
        <v>74</v>
      </c>
      <c r="E8" s="219" t="s">
        <v>34</v>
      </c>
      <c r="F8" s="219"/>
      <c r="G8" s="219"/>
      <c r="H8" s="219" t="s">
        <v>35</v>
      </c>
      <c r="I8" s="219"/>
      <c r="J8" s="219"/>
      <c r="K8" s="219" t="s">
        <v>36</v>
      </c>
      <c r="L8" s="219"/>
      <c r="M8" s="219"/>
    </row>
    <row r="9" spans="1:17" s="3" customFormat="1" ht="39.75" customHeight="1" x14ac:dyDescent="0.3">
      <c r="A9" s="218"/>
      <c r="B9" s="219"/>
      <c r="C9" s="219"/>
      <c r="D9" s="219"/>
      <c r="E9" s="29" t="s">
        <v>3</v>
      </c>
      <c r="F9" s="30" t="s">
        <v>37</v>
      </c>
      <c r="G9" s="31" t="s">
        <v>38</v>
      </c>
      <c r="H9" s="29" t="s">
        <v>3</v>
      </c>
      <c r="I9" s="30" t="s">
        <v>37</v>
      </c>
      <c r="J9" s="32" t="s">
        <v>38</v>
      </c>
      <c r="K9" s="29" t="s">
        <v>3</v>
      </c>
      <c r="L9" s="30" t="s">
        <v>37</v>
      </c>
      <c r="M9" s="31" t="s">
        <v>38</v>
      </c>
      <c r="O9" s="138"/>
    </row>
    <row r="10" spans="1:17" x14ac:dyDescent="0.25">
      <c r="A10" s="33" t="s">
        <v>157</v>
      </c>
      <c r="B10" s="141"/>
      <c r="C10" s="142"/>
      <c r="D10" s="33"/>
      <c r="E10" s="165">
        <v>60</v>
      </c>
      <c r="F10" s="165">
        <v>50000</v>
      </c>
      <c r="G10" s="165">
        <f>E10*F10</f>
        <v>3000000</v>
      </c>
      <c r="H10" s="148"/>
      <c r="I10" s="148"/>
      <c r="J10" s="148"/>
      <c r="K10" s="165">
        <f>E10</f>
        <v>60</v>
      </c>
      <c r="L10" s="165">
        <f>F10</f>
        <v>50000</v>
      </c>
      <c r="M10" s="165">
        <f>G10</f>
        <v>3000000</v>
      </c>
    </row>
    <row r="11" spans="1:17" ht="24" x14ac:dyDescent="0.25">
      <c r="A11" s="33" t="s">
        <v>158</v>
      </c>
      <c r="B11" s="33"/>
      <c r="C11" s="142"/>
      <c r="D11" s="33"/>
      <c r="E11" s="149"/>
      <c r="F11" s="149"/>
      <c r="G11" s="148"/>
      <c r="H11" s="165">
        <v>50</v>
      </c>
      <c r="I11" s="165">
        <f>F10</f>
        <v>50000</v>
      </c>
      <c r="J11" s="165">
        <f>H11*I11</f>
        <v>2500000</v>
      </c>
      <c r="K11" s="165">
        <f>K10-H11</f>
        <v>10</v>
      </c>
      <c r="L11" s="165">
        <f>L10</f>
        <v>50000</v>
      </c>
      <c r="M11" s="165">
        <f>L11*K11</f>
        <v>500000</v>
      </c>
    </row>
    <row r="12" spans="1:17" x14ac:dyDescent="0.25">
      <c r="A12" s="33" t="s">
        <v>178</v>
      </c>
      <c r="B12" s="33"/>
      <c r="C12" s="142"/>
      <c r="D12" s="33"/>
      <c r="E12" s="150"/>
      <c r="F12" s="149"/>
      <c r="G12" s="148"/>
      <c r="H12" s="148"/>
      <c r="I12" s="34"/>
      <c r="J12" s="34"/>
      <c r="K12" s="165">
        <f>K11-H12</f>
        <v>10</v>
      </c>
      <c r="L12" s="165">
        <f>L11</f>
        <v>50000</v>
      </c>
      <c r="M12" s="165">
        <f>L12*K12</f>
        <v>500000</v>
      </c>
    </row>
    <row r="13" spans="1:17" x14ac:dyDescent="0.25">
      <c r="A13" s="33"/>
      <c r="B13" s="33"/>
      <c r="C13" s="142"/>
      <c r="D13" s="33"/>
      <c r="E13" s="150"/>
      <c r="F13" s="149"/>
      <c r="G13" s="148"/>
      <c r="H13" s="34"/>
      <c r="I13" s="34"/>
      <c r="J13" s="34"/>
      <c r="K13" s="148"/>
      <c r="L13" s="148"/>
      <c r="M13" s="148"/>
    </row>
    <row r="14" spans="1:17" x14ac:dyDescent="0.25">
      <c r="A14" s="33"/>
      <c r="B14" s="33"/>
      <c r="C14" s="142"/>
      <c r="D14" s="33"/>
      <c r="E14" s="150"/>
      <c r="F14" s="149"/>
      <c r="G14" s="148"/>
      <c r="H14" s="34"/>
      <c r="I14" s="34"/>
      <c r="J14" s="34"/>
      <c r="K14" s="148"/>
      <c r="L14" s="148"/>
      <c r="M14" s="148"/>
    </row>
    <row r="15" spans="1:17" x14ac:dyDescent="0.25">
      <c r="A15" s="35"/>
      <c r="B15" s="35"/>
      <c r="C15" s="35"/>
      <c r="D15" s="35"/>
      <c r="E15" s="36"/>
      <c r="F15" s="37"/>
      <c r="G15" s="38"/>
      <c r="H15" s="36"/>
      <c r="I15" s="39"/>
      <c r="J15" s="39"/>
      <c r="K15" s="38"/>
      <c r="L15" s="38"/>
      <c r="M15" s="38"/>
    </row>
    <row r="16" spans="1:17" x14ac:dyDescent="0.25">
      <c r="A16" s="35"/>
      <c r="B16" s="35"/>
      <c r="C16" s="35"/>
      <c r="D16" s="35"/>
      <c r="E16" s="36"/>
      <c r="F16" s="37"/>
      <c r="G16" s="38"/>
      <c r="H16" s="36"/>
      <c r="I16" s="39"/>
      <c r="J16" s="39"/>
      <c r="K16" s="38"/>
      <c r="L16" s="38"/>
      <c r="M16" s="38"/>
    </row>
    <row r="17" spans="1:21" x14ac:dyDescent="0.25">
      <c r="A17" s="7"/>
      <c r="B17" s="7"/>
      <c r="C17" s="7"/>
      <c r="D17" s="7"/>
      <c r="E17" s="7"/>
      <c r="F17" s="7"/>
      <c r="G17" s="7"/>
      <c r="H17" s="8"/>
      <c r="N17" s="10"/>
      <c r="O17" s="10"/>
      <c r="P17" s="10"/>
      <c r="T17" s="9"/>
      <c r="U17" s="9"/>
    </row>
    <row r="18" spans="1:21" ht="15.75" x14ac:dyDescent="0.25">
      <c r="A18" s="223" t="s">
        <v>18</v>
      </c>
      <c r="B18" s="223"/>
      <c r="C18" s="223"/>
      <c r="D18" s="223"/>
      <c r="E18" s="223"/>
      <c r="F18" s="223"/>
      <c r="G18" s="10"/>
      <c r="H18" s="10"/>
      <c r="J18" s="221" t="s">
        <v>156</v>
      </c>
      <c r="K18" s="176"/>
      <c r="L18" s="176"/>
      <c r="M18" s="176"/>
      <c r="P18" s="8"/>
      <c r="Q18" s="6"/>
      <c r="R18" s="6"/>
      <c r="S18" s="9"/>
      <c r="T18" s="9"/>
      <c r="U18" s="9"/>
    </row>
    <row r="19" spans="1:21" ht="15.75" x14ac:dyDescent="0.25">
      <c r="A19" s="223" t="s">
        <v>171</v>
      </c>
      <c r="B19" s="223"/>
      <c r="C19" s="223"/>
      <c r="D19" s="223"/>
      <c r="E19" s="223"/>
      <c r="F19" s="223"/>
      <c r="G19" s="10"/>
      <c r="H19" s="10"/>
      <c r="K19" s="146" t="s">
        <v>170</v>
      </c>
      <c r="P19" s="8"/>
      <c r="Q19" s="7"/>
      <c r="R19" s="7"/>
      <c r="S19" s="9"/>
      <c r="T19" s="9"/>
      <c r="U19" s="9"/>
    </row>
    <row r="20" spans="1:21" x14ac:dyDescent="0.25">
      <c r="A20" s="176"/>
      <c r="B20" s="176"/>
      <c r="C20" s="176"/>
      <c r="D20" s="176"/>
      <c r="E20" s="10"/>
      <c r="F20" s="10"/>
      <c r="G20" s="10"/>
      <c r="H20" s="10"/>
      <c r="L20" s="10"/>
      <c r="M20" s="10"/>
      <c r="N20" s="10"/>
      <c r="O20" s="10"/>
      <c r="P20" s="10"/>
      <c r="Q20" s="10"/>
      <c r="R20" s="10"/>
      <c r="S20" s="9"/>
      <c r="T20" s="9"/>
      <c r="U20" s="9"/>
    </row>
    <row r="21" spans="1:21" x14ac:dyDescent="0.25">
      <c r="A21" s="8"/>
      <c r="B21" s="8"/>
      <c r="C21" s="8"/>
      <c r="D21" s="8"/>
      <c r="E21" s="8"/>
      <c r="F21" s="8"/>
      <c r="G21" s="8"/>
      <c r="H21" s="8"/>
      <c r="P21" s="8"/>
      <c r="Q21" s="8"/>
      <c r="R21" s="8"/>
      <c r="S21" s="9"/>
      <c r="T21" s="9"/>
      <c r="U21" s="9"/>
    </row>
    <row r="22" spans="1:21" x14ac:dyDescent="0.25">
      <c r="A22" s="8"/>
      <c r="B22" s="8"/>
      <c r="C22" s="8"/>
      <c r="D22" s="8"/>
      <c r="E22" s="8"/>
      <c r="F22" s="8"/>
      <c r="G22" s="8" t="s">
        <v>17</v>
      </c>
      <c r="H22" s="8"/>
      <c r="P22" s="8"/>
      <c r="Q22" s="8"/>
      <c r="R22" s="16"/>
      <c r="S22" s="9"/>
      <c r="T22" s="9"/>
      <c r="U22" s="9"/>
    </row>
    <row r="23" spans="1:21" s="13" customFormat="1" x14ac:dyDescent="0.25">
      <c r="A23" s="10"/>
      <c r="B23" s="10"/>
      <c r="C23" s="10"/>
      <c r="D23" s="10"/>
      <c r="E23" s="10"/>
      <c r="F23" s="11"/>
      <c r="G23" s="8"/>
      <c r="H23" s="8"/>
      <c r="P23" s="8"/>
      <c r="Q23" s="8"/>
      <c r="R23" s="8"/>
      <c r="S23" s="12"/>
      <c r="T23" s="12"/>
      <c r="U23" s="12"/>
    </row>
    <row r="24" spans="1:21" ht="15" customHeight="1" x14ac:dyDescent="0.25">
      <c r="A24" s="10"/>
      <c r="B24" s="10"/>
      <c r="C24" s="10"/>
      <c r="D24" s="10"/>
      <c r="E24" s="10"/>
      <c r="F24" s="11"/>
      <c r="G24" s="8"/>
      <c r="H24" s="16"/>
      <c r="P24" s="16"/>
      <c r="S24" s="9"/>
      <c r="T24" s="9"/>
      <c r="U24" s="9"/>
    </row>
    <row r="25" spans="1:21" ht="15" customHeight="1" x14ac:dyDescent="0.25">
      <c r="A25" s="222" t="s">
        <v>168</v>
      </c>
      <c r="B25" s="222"/>
      <c r="C25" s="222"/>
      <c r="D25" s="222"/>
      <c r="E25" s="222"/>
      <c r="F25" s="222"/>
      <c r="G25" s="113"/>
      <c r="H25" s="113"/>
      <c r="K25" s="220" t="s">
        <v>168</v>
      </c>
      <c r="L25" s="220"/>
      <c r="M25" s="14"/>
      <c r="N25" s="14"/>
      <c r="O25" s="14"/>
      <c r="P25" s="14"/>
      <c r="Q25" s="14"/>
      <c r="R25" s="14"/>
      <c r="S25" s="9"/>
      <c r="T25" s="9"/>
      <c r="U25" s="9"/>
    </row>
    <row r="26" spans="1:21" ht="15" customHeight="1" x14ac:dyDescent="0.25">
      <c r="A26" t="s">
        <v>169</v>
      </c>
      <c r="B26" s="145" t="s">
        <v>132</v>
      </c>
      <c r="C26" s="144"/>
      <c r="D26" s="144"/>
      <c r="E26" s="114"/>
      <c r="F26" s="114"/>
      <c r="G26" s="114"/>
      <c r="H26" s="114"/>
      <c r="K26" s="147" t="s">
        <v>169</v>
      </c>
      <c r="L26" s="10"/>
      <c r="M26" s="10"/>
      <c r="N26" s="10"/>
      <c r="O26" s="10"/>
      <c r="P26" s="10"/>
      <c r="Q26" s="10"/>
      <c r="R26" s="10"/>
      <c r="S26" s="9"/>
      <c r="T26" s="9"/>
      <c r="U26" s="9"/>
    </row>
    <row r="27" spans="1:21" x14ac:dyDescent="0.25">
      <c r="A27" s="175"/>
      <c r="B27" s="175"/>
      <c r="C27" s="175"/>
      <c r="D27" s="175"/>
      <c r="E27" s="175"/>
      <c r="F27" s="175"/>
      <c r="G27" s="175"/>
      <c r="H27" s="40"/>
      <c r="I27" s="176"/>
      <c r="J27" s="176"/>
      <c r="K27" s="176"/>
      <c r="L27" s="176"/>
      <c r="M27" s="176"/>
      <c r="P27" s="9"/>
      <c r="Q27" s="9"/>
      <c r="R27" s="9"/>
      <c r="S27" s="9"/>
      <c r="T27" s="9"/>
      <c r="U27" s="9"/>
    </row>
  </sheetData>
  <mergeCells count="15">
    <mergeCell ref="I27:M27"/>
    <mergeCell ref="A27:G27"/>
    <mergeCell ref="A20:D20"/>
    <mergeCell ref="K25:L25"/>
    <mergeCell ref="J18:M18"/>
    <mergeCell ref="A25:F25"/>
    <mergeCell ref="A18:F18"/>
    <mergeCell ref="A19:F19"/>
    <mergeCell ref="A1:M1"/>
    <mergeCell ref="A8:A9"/>
    <mergeCell ref="E8:G8"/>
    <mergeCell ref="H8:J8"/>
    <mergeCell ref="K8:M8"/>
    <mergeCell ref="B8:C9"/>
    <mergeCell ref="D8:D9"/>
  </mergeCells>
  <dataValidations disablePrompts="1" count="2">
    <dataValidation type="list" allowBlank="1" showInputMessage="1" showErrorMessage="1" sqref="O6" xr:uid="{69E6A1A8-EF8C-4F49-BC8C-5DDE226E3A3F}">
      <formula1>#REF!</formula1>
    </dataValidation>
    <dataValidation type="list" allowBlank="1" showInputMessage="1" showErrorMessage="1" sqref="O9" xr:uid="{0376E45F-C0AE-4AA7-8C75-D8D76C04999F}">
      <formula1>#REF!</formula1>
    </dataValidation>
  </dataValidations>
  <pageMargins left="0.36" right="0.12" top="0.24" bottom="0.38" header="0.12" footer="0.12"/>
  <pageSetup paperSize="2000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E740-67D2-4BC1-8FDF-6B9494D3D7DA}">
  <sheetPr>
    <tabColor rgb="FFFF0000"/>
  </sheetPr>
  <dimension ref="A1:N29"/>
  <sheetViews>
    <sheetView view="pageBreakPreview" zoomScale="130" zoomScaleNormal="100" zoomScaleSheetLayoutView="130" workbookViewId="0">
      <selection activeCell="A24" sqref="A24:C24"/>
    </sheetView>
  </sheetViews>
  <sheetFormatPr defaultRowHeight="15" x14ac:dyDescent="0.25"/>
  <cols>
    <col min="1" max="1" width="4.5703125" customWidth="1"/>
    <col min="2" max="2" width="17.28515625" customWidth="1"/>
    <col min="3" max="4" width="14.85546875" customWidth="1"/>
    <col min="5" max="5" width="27.7109375" customWidth="1"/>
    <col min="6" max="6" width="8.28515625" customWidth="1"/>
    <col min="7" max="8" width="14.140625" customWidth="1"/>
    <col min="9" max="9" width="9.5703125" bestFit="1" customWidth="1"/>
    <col min="10" max="10" width="13.28515625" customWidth="1"/>
    <col min="11" max="11" width="13.5703125" style="130" customWidth="1"/>
    <col min="12" max="13" width="16.42578125" style="130" customWidth="1"/>
    <col min="14" max="14" width="16.42578125" customWidth="1"/>
  </cols>
  <sheetData>
    <row r="1" spans="1:14" ht="15.75" x14ac:dyDescent="0.25">
      <c r="A1" s="172" t="s">
        <v>166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4" ht="15.75" x14ac:dyDescent="0.25">
      <c r="A2" s="172" t="s">
        <v>80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4" spans="1:14" s="3" customFormat="1" x14ac:dyDescent="0.25">
      <c r="A4" s="1" t="s">
        <v>14</v>
      </c>
      <c r="B4" s="1"/>
      <c r="K4" s="151"/>
      <c r="L4" s="151"/>
      <c r="M4" s="151"/>
    </row>
    <row r="5" spans="1:14" s="3" customFormat="1" x14ac:dyDescent="0.25">
      <c r="A5" s="174" t="s">
        <v>15</v>
      </c>
      <c r="B5" s="174"/>
      <c r="C5" s="3" t="s">
        <v>19</v>
      </c>
      <c r="K5" s="151"/>
      <c r="L5" s="151"/>
      <c r="M5" s="151"/>
    </row>
    <row r="8" spans="1:14" s="41" customFormat="1" ht="15" customHeight="1" x14ac:dyDescent="0.25">
      <c r="A8" s="225" t="s">
        <v>1</v>
      </c>
      <c r="B8" s="230" t="s">
        <v>160</v>
      </c>
      <c r="C8" s="231"/>
      <c r="D8" s="225" t="s">
        <v>161</v>
      </c>
      <c r="E8" s="225" t="s">
        <v>2</v>
      </c>
      <c r="F8" s="230" t="s">
        <v>163</v>
      </c>
      <c r="G8" s="231"/>
      <c r="H8" s="225" t="s">
        <v>46</v>
      </c>
      <c r="I8" s="225" t="s">
        <v>12</v>
      </c>
      <c r="J8" s="225" t="s">
        <v>16</v>
      </c>
      <c r="K8" s="230" t="s">
        <v>155</v>
      </c>
      <c r="L8" s="231"/>
      <c r="M8" s="225" t="s">
        <v>164</v>
      </c>
      <c r="N8" s="232" t="s">
        <v>165</v>
      </c>
    </row>
    <row r="9" spans="1:14" s="41" customFormat="1" ht="15" customHeight="1" x14ac:dyDescent="0.25">
      <c r="A9" s="227"/>
      <c r="B9" s="225" t="s">
        <v>9</v>
      </c>
      <c r="C9" s="225" t="s">
        <v>159</v>
      </c>
      <c r="D9" s="227"/>
      <c r="E9" s="227"/>
      <c r="F9" s="227" t="s">
        <v>6</v>
      </c>
      <c r="G9" s="227" t="s">
        <v>162</v>
      </c>
      <c r="H9" s="227"/>
      <c r="I9" s="227"/>
      <c r="J9" s="227"/>
      <c r="K9" s="227" t="s">
        <v>87</v>
      </c>
      <c r="L9" s="225" t="s">
        <v>159</v>
      </c>
      <c r="M9" s="227"/>
      <c r="N9" s="233"/>
    </row>
    <row r="10" spans="1:14" s="41" customFormat="1" ht="33" customHeight="1" x14ac:dyDescent="0.25">
      <c r="A10" s="226"/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34"/>
    </row>
    <row r="11" spans="1:14" s="27" customFormat="1" ht="18" customHeight="1" x14ac:dyDescent="0.2">
      <c r="A11" s="42"/>
      <c r="B11" s="91" t="s">
        <v>179</v>
      </c>
      <c r="C11" s="91" t="s">
        <v>179</v>
      </c>
      <c r="D11" s="73"/>
      <c r="E11" s="15" t="s">
        <v>149</v>
      </c>
      <c r="F11" s="15"/>
      <c r="G11" s="71"/>
      <c r="H11" s="71">
        <v>50</v>
      </c>
      <c r="I11" s="136">
        <v>50000</v>
      </c>
      <c r="J11" s="136">
        <f>H11*I11</f>
        <v>2500000</v>
      </c>
      <c r="K11" s="91" t="s">
        <v>155</v>
      </c>
      <c r="L11" s="91" t="s">
        <v>155</v>
      </c>
      <c r="M11" s="91" t="s">
        <v>112</v>
      </c>
      <c r="N11" s="34"/>
    </row>
    <row r="12" spans="1:14" s="27" customFormat="1" ht="18" customHeight="1" x14ac:dyDescent="0.2">
      <c r="A12" s="42"/>
      <c r="B12" s="91"/>
      <c r="C12" s="73"/>
      <c r="D12" s="73"/>
      <c r="E12" s="15"/>
      <c r="F12" s="15"/>
      <c r="G12" s="71"/>
      <c r="H12" s="71"/>
      <c r="I12" s="136"/>
      <c r="J12" s="136"/>
      <c r="K12" s="91"/>
      <c r="L12" s="91"/>
      <c r="M12" s="91"/>
      <c r="N12" s="34"/>
    </row>
    <row r="13" spans="1:14" s="27" customFormat="1" ht="18" customHeight="1" x14ac:dyDescent="0.2">
      <c r="A13" s="42"/>
      <c r="B13" s="91"/>
      <c r="C13" s="73"/>
      <c r="D13" s="73"/>
      <c r="E13" s="15"/>
      <c r="F13" s="15"/>
      <c r="G13" s="71"/>
      <c r="H13" s="71"/>
      <c r="I13" s="136"/>
      <c r="J13" s="136"/>
      <c r="K13" s="91"/>
      <c r="L13" s="91"/>
      <c r="M13" s="91"/>
      <c r="N13" s="34"/>
    </row>
    <row r="14" spans="1:14" s="27" customFormat="1" ht="18" customHeight="1" x14ac:dyDescent="0.2">
      <c r="A14" s="42"/>
      <c r="B14" s="91"/>
      <c r="C14" s="73"/>
      <c r="D14" s="73"/>
      <c r="E14" s="15"/>
      <c r="F14" s="15"/>
      <c r="G14" s="71"/>
      <c r="H14" s="71"/>
      <c r="I14" s="136"/>
      <c r="J14" s="136"/>
      <c r="K14" s="104"/>
      <c r="L14" s="104"/>
      <c r="M14" s="104"/>
      <c r="N14" s="34"/>
    </row>
    <row r="15" spans="1:14" s="27" customFormat="1" ht="18" customHeight="1" x14ac:dyDescent="0.2">
      <c r="A15" s="42"/>
      <c r="B15" s="91"/>
      <c r="C15" s="73"/>
      <c r="D15" s="73"/>
      <c r="E15" s="15"/>
      <c r="F15" s="15"/>
      <c r="G15" s="71"/>
      <c r="H15" s="71"/>
      <c r="I15" s="136"/>
      <c r="J15" s="136"/>
      <c r="K15" s="91"/>
      <c r="L15" s="91"/>
      <c r="M15" s="91"/>
      <c r="N15" s="34"/>
    </row>
    <row r="16" spans="1:14" s="27" customFormat="1" ht="18" customHeight="1" x14ac:dyDescent="0.2">
      <c r="A16" s="42"/>
      <c r="B16" s="91"/>
      <c r="C16" s="73"/>
      <c r="D16" s="73"/>
      <c r="E16" s="15"/>
      <c r="F16" s="15"/>
      <c r="G16" s="71"/>
      <c r="H16" s="71"/>
      <c r="I16" s="136"/>
      <c r="J16" s="136"/>
      <c r="K16" s="91"/>
      <c r="L16" s="91"/>
      <c r="M16" s="91"/>
      <c r="N16" s="34"/>
    </row>
    <row r="17" spans="1:14" s="27" customFormat="1" ht="18" customHeight="1" x14ac:dyDescent="0.2">
      <c r="A17" s="42"/>
      <c r="B17" s="91"/>
      <c r="C17" s="73"/>
      <c r="D17" s="73"/>
      <c r="E17" s="15"/>
      <c r="F17" s="15"/>
      <c r="G17" s="71"/>
      <c r="H17" s="71"/>
      <c r="I17" s="136"/>
      <c r="J17" s="136"/>
      <c r="K17" s="91"/>
      <c r="L17" s="91"/>
      <c r="M17" s="91"/>
      <c r="N17" s="34"/>
    </row>
    <row r="18" spans="1:14" s="27" customFormat="1" ht="18" customHeight="1" x14ac:dyDescent="0.2">
      <c r="A18" s="42"/>
      <c r="B18" s="91"/>
      <c r="C18" s="73"/>
      <c r="D18" s="73"/>
      <c r="E18" s="15"/>
      <c r="F18" s="15"/>
      <c r="G18" s="71"/>
      <c r="H18" s="71"/>
      <c r="I18" s="136"/>
      <c r="J18" s="136"/>
      <c r="K18" s="91"/>
      <c r="L18" s="91"/>
      <c r="M18" s="91"/>
      <c r="N18" s="34"/>
    </row>
    <row r="19" spans="1:14" s="27" customFormat="1" ht="18" customHeight="1" x14ac:dyDescent="0.2">
      <c r="A19" s="42"/>
      <c r="B19" s="91"/>
      <c r="C19" s="73"/>
      <c r="D19" s="73"/>
      <c r="E19" s="15"/>
      <c r="F19" s="15"/>
      <c r="G19" s="71"/>
      <c r="H19" s="71"/>
      <c r="I19" s="136"/>
      <c r="J19" s="136"/>
      <c r="K19" s="104"/>
      <c r="L19" s="104"/>
      <c r="M19" s="104"/>
      <c r="N19" s="34"/>
    </row>
    <row r="20" spans="1:14" s="27" customFormat="1" ht="18" customHeight="1" x14ac:dyDescent="0.2">
      <c r="A20" s="42"/>
      <c r="B20" s="91"/>
      <c r="C20" s="73"/>
      <c r="D20" s="73"/>
      <c r="E20" s="15"/>
      <c r="F20" s="15"/>
      <c r="G20" s="71"/>
      <c r="H20" s="71"/>
      <c r="I20" s="136"/>
      <c r="J20" s="136"/>
      <c r="K20" s="91"/>
      <c r="L20" s="91"/>
      <c r="M20" s="91"/>
      <c r="N20" s="34"/>
    </row>
    <row r="22" spans="1:14" x14ac:dyDescent="0.25">
      <c r="A22" s="180" t="s">
        <v>18</v>
      </c>
      <c r="B22" s="180"/>
      <c r="C22" s="180"/>
      <c r="D22" s="180"/>
      <c r="F22" s="181" t="s">
        <v>156</v>
      </c>
      <c r="G22" s="181"/>
      <c r="H22" s="181"/>
      <c r="I22" s="181"/>
      <c r="J22" s="181"/>
      <c r="K22" s="181"/>
      <c r="L22" s="181"/>
      <c r="M22" s="181"/>
      <c r="N22" s="181"/>
    </row>
    <row r="23" spans="1:14" x14ac:dyDescent="0.25">
      <c r="A23" s="180" t="s">
        <v>171</v>
      </c>
      <c r="B23" s="180"/>
      <c r="C23" s="180"/>
      <c r="D23" s="180"/>
      <c r="F23" s="180" t="s">
        <v>170</v>
      </c>
      <c r="G23" s="180"/>
      <c r="H23" s="180"/>
      <c r="I23" s="180"/>
      <c r="J23" s="180"/>
      <c r="K23" s="180"/>
      <c r="L23" s="180"/>
      <c r="M23" s="180"/>
      <c r="N23" s="180"/>
    </row>
    <row r="24" spans="1:14" x14ac:dyDescent="0.25">
      <c r="A24" s="180"/>
      <c r="B24" s="180"/>
      <c r="C24" s="180"/>
      <c r="D24" s="157"/>
      <c r="F24" s="13"/>
      <c r="G24" s="13"/>
      <c r="H24" s="13"/>
      <c r="I24" s="13"/>
      <c r="J24" s="13"/>
      <c r="K24" s="152"/>
      <c r="L24" s="152"/>
      <c r="M24" s="152"/>
      <c r="N24" s="13"/>
    </row>
    <row r="25" spans="1:14" x14ac:dyDescent="0.25">
      <c r="B25" s="9"/>
    </row>
    <row r="26" spans="1:14" x14ac:dyDescent="0.25">
      <c r="A26" s="14"/>
      <c r="B26" s="9"/>
    </row>
    <row r="27" spans="1:14" x14ac:dyDescent="0.25">
      <c r="A27" s="10"/>
      <c r="B27" s="9"/>
    </row>
    <row r="28" spans="1:14" x14ac:dyDescent="0.25">
      <c r="A28" s="229" t="s">
        <v>168</v>
      </c>
      <c r="B28" s="229"/>
      <c r="C28" s="229"/>
      <c r="D28" s="229"/>
      <c r="G28" s="3" t="s">
        <v>78</v>
      </c>
      <c r="H28" s="3"/>
      <c r="I28" s="224" t="s">
        <v>168</v>
      </c>
      <c r="J28" s="224"/>
      <c r="K28" s="224"/>
      <c r="L28" s="158"/>
      <c r="M28" s="158"/>
    </row>
    <row r="29" spans="1:14" x14ac:dyDescent="0.25">
      <c r="A29" s="228" t="s">
        <v>172</v>
      </c>
      <c r="B29" s="228"/>
      <c r="C29" s="228"/>
      <c r="D29" s="228"/>
      <c r="G29" s="80" t="s">
        <v>131</v>
      </c>
      <c r="H29" s="80"/>
      <c r="I29" s="224" t="s">
        <v>169</v>
      </c>
      <c r="J29" s="224"/>
      <c r="K29" s="224"/>
      <c r="L29" s="158"/>
      <c r="M29" s="158"/>
    </row>
  </sheetData>
  <mergeCells count="29">
    <mergeCell ref="A1:N1"/>
    <mergeCell ref="A2:N2"/>
    <mergeCell ref="A5:B5"/>
    <mergeCell ref="A8:A10"/>
    <mergeCell ref="E8:E10"/>
    <mergeCell ref="I8:I10"/>
    <mergeCell ref="J8:J10"/>
    <mergeCell ref="B8:C8"/>
    <mergeCell ref="B9:B10"/>
    <mergeCell ref="N8:N10"/>
    <mergeCell ref="F8:G8"/>
    <mergeCell ref="G9:G10"/>
    <mergeCell ref="F9:F10"/>
    <mergeCell ref="H8:H10"/>
    <mergeCell ref="K9:K10"/>
    <mergeCell ref="K8:L8"/>
    <mergeCell ref="F22:N22"/>
    <mergeCell ref="F23:N23"/>
    <mergeCell ref="I29:K29"/>
    <mergeCell ref="I28:K28"/>
    <mergeCell ref="C9:C10"/>
    <mergeCell ref="D8:D10"/>
    <mergeCell ref="L9:L10"/>
    <mergeCell ref="M8:M10"/>
    <mergeCell ref="A22:D22"/>
    <mergeCell ref="A23:D23"/>
    <mergeCell ref="A29:D29"/>
    <mergeCell ref="A28:D28"/>
    <mergeCell ref="A24:C24"/>
  </mergeCells>
  <pageMargins left="0.27559055118110237" right="0.15748031496062992" top="0.21" bottom="0.3" header="0.12" footer="0.12"/>
  <pageSetup paperSize="20000" scale="80" fitToHeight="0" orientation="landscape" r:id="rId1"/>
  <headerFoot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CF8C-20D0-4D49-9725-07D202D9EE5B}">
  <sheetPr filterMode="1">
    <tabColor rgb="FF92D050"/>
  </sheetPr>
  <dimension ref="A7:K48"/>
  <sheetViews>
    <sheetView showGridLines="0" view="pageBreakPreview" topLeftCell="F1" zoomScaleNormal="100" zoomScaleSheetLayoutView="100" workbookViewId="0">
      <pane ySplit="13" topLeftCell="A14" activePane="bottomLeft" state="frozen"/>
      <selection activeCell="I23" sqref="I23"/>
      <selection pane="bottomLeft" activeCell="I23" sqref="I23"/>
    </sheetView>
  </sheetViews>
  <sheetFormatPr defaultColWidth="9.140625" defaultRowHeight="15" x14ac:dyDescent="0.25"/>
  <cols>
    <col min="1" max="1" width="5.42578125" style="43" customWidth="1"/>
    <col min="2" max="2" width="14.28515625" style="43" customWidth="1"/>
    <col min="3" max="3" width="1.85546875" style="43" customWidth="1"/>
    <col min="4" max="4" width="12.7109375" style="43" customWidth="1"/>
    <col min="5" max="5" width="13.7109375" style="43" customWidth="1"/>
    <col min="6" max="6" width="13.140625" style="43" customWidth="1"/>
    <col min="7" max="7" width="15.85546875" style="43" customWidth="1"/>
    <col min="8" max="8" width="18.140625" style="43" customWidth="1"/>
    <col min="9" max="9" width="0.42578125" style="43" customWidth="1"/>
    <col min="10" max="10" width="9.42578125" style="43" customWidth="1"/>
    <col min="11" max="11" width="9.140625" style="43"/>
    <col min="12" max="12" width="9.42578125" style="43" bestFit="1" customWidth="1"/>
    <col min="13" max="16384" width="9.140625" style="43"/>
  </cols>
  <sheetData>
    <row r="7" spans="1:11" ht="22.5" customHeight="1" x14ac:dyDescent="0.25">
      <c r="A7" s="44" t="s">
        <v>70</v>
      </c>
      <c r="B7" s="45"/>
      <c r="C7" s="45"/>
      <c r="D7" s="45"/>
      <c r="E7" s="45"/>
      <c r="F7" s="45"/>
      <c r="G7" s="45"/>
      <c r="H7" s="45"/>
    </row>
    <row r="8" spans="1:11" x14ac:dyDescent="0.25">
      <c r="A8" s="186" t="s">
        <v>141</v>
      </c>
      <c r="B8" s="186"/>
      <c r="C8" s="186"/>
      <c r="D8" s="186"/>
      <c r="E8" s="186"/>
      <c r="F8" s="186"/>
      <c r="G8" s="186"/>
      <c r="H8" s="186"/>
    </row>
    <row r="9" spans="1:11" x14ac:dyDescent="0.25">
      <c r="A9" s="46"/>
    </row>
    <row r="10" spans="1:11" x14ac:dyDescent="0.25">
      <c r="A10" s="47" t="s">
        <v>45</v>
      </c>
      <c r="C10" s="43" t="s">
        <v>23</v>
      </c>
      <c r="D10" s="154" t="s">
        <v>108</v>
      </c>
    </row>
    <row r="11" spans="1:11" x14ac:dyDescent="0.25">
      <c r="A11" s="47"/>
    </row>
    <row r="12" spans="1:11" ht="16.5" customHeight="1" x14ac:dyDescent="0.25">
      <c r="A12" s="189" t="s">
        <v>50</v>
      </c>
      <c r="B12" s="189" t="s">
        <v>2</v>
      </c>
      <c r="C12" s="189"/>
      <c r="D12" s="189"/>
      <c r="E12" s="190" t="s">
        <v>46</v>
      </c>
      <c r="F12" s="189" t="s">
        <v>47</v>
      </c>
      <c r="G12" s="187" t="s">
        <v>48</v>
      </c>
      <c r="H12" s="187" t="s">
        <v>49</v>
      </c>
      <c r="J12" s="235" t="s">
        <v>114</v>
      </c>
    </row>
    <row r="13" spans="1:11" x14ac:dyDescent="0.25">
      <c r="A13" s="189"/>
      <c r="B13" s="189"/>
      <c r="C13" s="189"/>
      <c r="D13" s="189"/>
      <c r="E13" s="191"/>
      <c r="F13" s="189"/>
      <c r="G13" s="188"/>
      <c r="H13" s="188"/>
      <c r="J13" s="235"/>
    </row>
    <row r="14" spans="1:11" ht="16.5" hidden="1" customHeight="1" x14ac:dyDescent="0.25">
      <c r="A14" s="81"/>
      <c r="B14" s="53" t="e">
        <f>#REF!</f>
        <v>#REF!</v>
      </c>
      <c r="C14" s="124"/>
      <c r="D14" s="125"/>
      <c r="E14" s="86" t="e">
        <f>_xlfn.IFNA(VLOOKUP(K14,#REF!,6,0),0)</f>
        <v>#REF!</v>
      </c>
      <c r="F14" s="94" t="e">
        <f>VLOOKUP(B14,#REF!,7,0)</f>
        <v>#REF!</v>
      </c>
      <c r="G14" s="62"/>
      <c r="H14" s="62"/>
      <c r="J14" s="43" t="e">
        <f>IF(E14&gt;0,"PRINT","NOPRINT")</f>
        <v>#REF!</v>
      </c>
      <c r="K14" s="43" t="e">
        <f>B14&amp;$D$10</f>
        <v>#REF!</v>
      </c>
    </row>
    <row r="15" spans="1:11" x14ac:dyDescent="0.25">
      <c r="A15" s="82"/>
      <c r="B15" s="56" t="e">
        <f>#REF!</f>
        <v>#REF!</v>
      </c>
      <c r="C15" s="57"/>
      <c r="D15" s="126"/>
      <c r="E15" s="87" t="e">
        <f>_xlfn.IFNA(VLOOKUP(K15,#REF!,6,0),0)</f>
        <v>#REF!</v>
      </c>
      <c r="F15" s="95" t="e">
        <f>VLOOKUP(B15,#REF!,7,0)</f>
        <v>#REF!</v>
      </c>
      <c r="G15" s="63"/>
      <c r="H15" s="63"/>
      <c r="J15" s="43" t="e">
        <f t="shared" ref="J15:J34" si="0">IF(E15&gt;0,"PRINT","NOPRINT")</f>
        <v>#REF!</v>
      </c>
      <c r="K15" s="43" t="e">
        <f t="shared" ref="K15:K33" si="1">B15&amp;$D$10</f>
        <v>#REF!</v>
      </c>
    </row>
    <row r="16" spans="1:11" hidden="1" x14ac:dyDescent="0.25">
      <c r="A16" s="82"/>
      <c r="B16" s="56" t="e">
        <f>#REF!</f>
        <v>#REF!</v>
      </c>
      <c r="C16" s="57"/>
      <c r="D16" s="126"/>
      <c r="E16" s="87" t="e">
        <f>_xlfn.IFNA(VLOOKUP(K16,#REF!,6,0),0)</f>
        <v>#REF!</v>
      </c>
      <c r="F16" s="95" t="e">
        <f>VLOOKUP(B16,#REF!,7,0)</f>
        <v>#REF!</v>
      </c>
      <c r="G16" s="63"/>
      <c r="H16" s="63"/>
      <c r="J16" s="43" t="e">
        <f t="shared" si="0"/>
        <v>#REF!</v>
      </c>
      <c r="K16" s="43" t="e">
        <f t="shared" si="1"/>
        <v>#REF!</v>
      </c>
    </row>
    <row r="17" spans="1:11" ht="15" hidden="1" customHeight="1" x14ac:dyDescent="0.25">
      <c r="A17" s="82"/>
      <c r="B17" s="56" t="e">
        <f>#REF!</f>
        <v>#REF!</v>
      </c>
      <c r="C17" s="57"/>
      <c r="D17" s="126"/>
      <c r="E17" s="87" t="e">
        <f>_xlfn.IFNA(VLOOKUP(K17,#REF!,6,0),0)</f>
        <v>#REF!</v>
      </c>
      <c r="F17" s="95" t="e">
        <f>VLOOKUP(B17,#REF!,7,0)</f>
        <v>#REF!</v>
      </c>
      <c r="G17" s="63"/>
      <c r="H17" s="63"/>
      <c r="J17" s="43" t="e">
        <f t="shared" si="0"/>
        <v>#REF!</v>
      </c>
      <c r="K17" s="43" t="e">
        <f t="shared" si="1"/>
        <v>#REF!</v>
      </c>
    </row>
    <row r="18" spans="1:11" ht="15" hidden="1" customHeight="1" x14ac:dyDescent="0.25">
      <c r="A18" s="82"/>
      <c r="B18" s="56" t="e">
        <f>#REF!</f>
        <v>#REF!</v>
      </c>
      <c r="C18" s="57"/>
      <c r="D18" s="126"/>
      <c r="E18" s="87" t="e">
        <f>_xlfn.IFNA(VLOOKUP(K18,#REF!,6,0),0)</f>
        <v>#REF!</v>
      </c>
      <c r="F18" s="95" t="e">
        <f>VLOOKUP(B18,#REF!,7,0)</f>
        <v>#REF!</v>
      </c>
      <c r="G18" s="63"/>
      <c r="H18" s="63"/>
      <c r="J18" s="43" t="e">
        <f t="shared" si="0"/>
        <v>#REF!</v>
      </c>
      <c r="K18" s="43" t="e">
        <f t="shared" si="1"/>
        <v>#REF!</v>
      </c>
    </row>
    <row r="19" spans="1:11" ht="15" customHeight="1" x14ac:dyDescent="0.25">
      <c r="A19" s="82"/>
      <c r="B19" s="56" t="e">
        <f>#REF!</f>
        <v>#REF!</v>
      </c>
      <c r="C19" s="57"/>
      <c r="D19" s="126"/>
      <c r="E19" s="87" t="e">
        <f>_xlfn.IFNA(VLOOKUP(K19,#REF!,6,0),0)</f>
        <v>#REF!</v>
      </c>
      <c r="F19" s="95" t="e">
        <f>VLOOKUP(B19,#REF!,7,0)</f>
        <v>#REF!</v>
      </c>
      <c r="G19" s="63"/>
      <c r="H19" s="63"/>
      <c r="J19" s="43" t="e">
        <f t="shared" si="0"/>
        <v>#REF!</v>
      </c>
      <c r="K19" s="43" t="e">
        <f t="shared" si="1"/>
        <v>#REF!</v>
      </c>
    </row>
    <row r="20" spans="1:11" x14ac:dyDescent="0.25">
      <c r="A20" s="82"/>
      <c r="B20" s="56" t="e">
        <f>#REF!</f>
        <v>#REF!</v>
      </c>
      <c r="C20" s="57"/>
      <c r="D20" s="126"/>
      <c r="E20" s="87" t="e">
        <f>_xlfn.IFNA(VLOOKUP(K20,#REF!,6,0),0)</f>
        <v>#REF!</v>
      </c>
      <c r="F20" s="95" t="e">
        <f>VLOOKUP(B20,#REF!,7,0)</f>
        <v>#REF!</v>
      </c>
      <c r="G20" s="63"/>
      <c r="H20" s="63"/>
      <c r="J20" s="43" t="e">
        <f t="shared" si="0"/>
        <v>#REF!</v>
      </c>
      <c r="K20" s="43" t="e">
        <f t="shared" si="1"/>
        <v>#REF!</v>
      </c>
    </row>
    <row r="21" spans="1:11" ht="15" hidden="1" customHeight="1" x14ac:dyDescent="0.25">
      <c r="A21" s="82"/>
      <c r="B21" s="56" t="e">
        <f>#REF!</f>
        <v>#REF!</v>
      </c>
      <c r="C21" s="57"/>
      <c r="D21" s="126"/>
      <c r="E21" s="87" t="e">
        <f>_xlfn.IFNA(VLOOKUP(K21,#REF!,6,0),0)</f>
        <v>#REF!</v>
      </c>
      <c r="F21" s="95" t="e">
        <f>VLOOKUP(B21,#REF!,7,0)</f>
        <v>#REF!</v>
      </c>
      <c r="G21" s="63"/>
      <c r="H21" s="63"/>
      <c r="J21" s="43" t="e">
        <f t="shared" si="0"/>
        <v>#REF!</v>
      </c>
      <c r="K21" s="43" t="e">
        <f t="shared" si="1"/>
        <v>#REF!</v>
      </c>
    </row>
    <row r="22" spans="1:11" hidden="1" x14ac:dyDescent="0.25">
      <c r="A22" s="82"/>
      <c r="B22" s="56" t="e">
        <f>#REF!</f>
        <v>#REF!</v>
      </c>
      <c r="C22" s="57"/>
      <c r="D22" s="126"/>
      <c r="E22" s="87" t="e">
        <f>_xlfn.IFNA(VLOOKUP(K22,#REF!,6,0),0)</f>
        <v>#REF!</v>
      </c>
      <c r="F22" s="95" t="e">
        <f>VLOOKUP(B22,#REF!,7,0)</f>
        <v>#REF!</v>
      </c>
      <c r="G22" s="63"/>
      <c r="H22" s="63"/>
      <c r="J22" s="43" t="e">
        <f t="shared" si="0"/>
        <v>#REF!</v>
      </c>
      <c r="K22" s="43" t="e">
        <f t="shared" si="1"/>
        <v>#REF!</v>
      </c>
    </row>
    <row r="23" spans="1:11" hidden="1" x14ac:dyDescent="0.25">
      <c r="A23" s="82"/>
      <c r="B23" s="56" t="e">
        <f>#REF!</f>
        <v>#REF!</v>
      </c>
      <c r="C23" s="57"/>
      <c r="D23" s="126"/>
      <c r="E23" s="87" t="e">
        <f>_xlfn.IFNA(VLOOKUP(K23,#REF!,6,0),0)</f>
        <v>#REF!</v>
      </c>
      <c r="F23" s="95" t="e">
        <f>VLOOKUP(B23,#REF!,7,0)</f>
        <v>#REF!</v>
      </c>
      <c r="G23" s="63"/>
      <c r="H23" s="63"/>
      <c r="J23" s="43" t="e">
        <f t="shared" si="0"/>
        <v>#REF!</v>
      </c>
      <c r="K23" s="43" t="e">
        <f t="shared" si="1"/>
        <v>#REF!</v>
      </c>
    </row>
    <row r="24" spans="1:11" ht="15" hidden="1" customHeight="1" x14ac:dyDescent="0.25">
      <c r="A24" s="82"/>
      <c r="B24" s="56" t="e">
        <f>#REF!</f>
        <v>#REF!</v>
      </c>
      <c r="C24" s="57"/>
      <c r="D24" s="126"/>
      <c r="E24" s="87" t="e">
        <f>_xlfn.IFNA(VLOOKUP(K24,#REF!,6,0),0)</f>
        <v>#REF!</v>
      </c>
      <c r="F24" s="95" t="e">
        <f>VLOOKUP(B24,#REF!,7,0)</f>
        <v>#REF!</v>
      </c>
      <c r="G24" s="63"/>
      <c r="H24" s="63"/>
      <c r="J24" s="43" t="e">
        <f t="shared" si="0"/>
        <v>#REF!</v>
      </c>
      <c r="K24" s="43" t="e">
        <f t="shared" si="1"/>
        <v>#REF!</v>
      </c>
    </row>
    <row r="25" spans="1:11" ht="15" hidden="1" customHeight="1" x14ac:dyDescent="0.25">
      <c r="A25" s="82"/>
      <c r="B25" s="56" t="e">
        <f>#REF!</f>
        <v>#REF!</v>
      </c>
      <c r="C25" s="57"/>
      <c r="D25" s="126"/>
      <c r="E25" s="87" t="e">
        <f>_xlfn.IFNA(VLOOKUP(K25,#REF!,6,0),0)</f>
        <v>#REF!</v>
      </c>
      <c r="F25" s="95" t="e">
        <f>VLOOKUP(B25,#REF!,7,0)</f>
        <v>#REF!</v>
      </c>
      <c r="G25" s="63"/>
      <c r="H25" s="63"/>
      <c r="J25" s="43" t="e">
        <f t="shared" si="0"/>
        <v>#REF!</v>
      </c>
      <c r="K25" s="43" t="e">
        <f t="shared" si="1"/>
        <v>#REF!</v>
      </c>
    </row>
    <row r="26" spans="1:11" ht="15" hidden="1" customHeight="1" x14ac:dyDescent="0.25">
      <c r="A26" s="82"/>
      <c r="B26" s="56" t="e">
        <f>#REF!</f>
        <v>#REF!</v>
      </c>
      <c r="C26" s="57"/>
      <c r="D26" s="126"/>
      <c r="E26" s="87" t="e">
        <f>_xlfn.IFNA(VLOOKUP(K26,#REF!,6,0),0)</f>
        <v>#REF!</v>
      </c>
      <c r="F26" s="95" t="e">
        <f>VLOOKUP(B26,#REF!,7,0)</f>
        <v>#REF!</v>
      </c>
      <c r="G26" s="63"/>
      <c r="H26" s="63"/>
      <c r="J26" s="43" t="e">
        <f t="shared" si="0"/>
        <v>#REF!</v>
      </c>
      <c r="K26" s="43" t="e">
        <f t="shared" si="1"/>
        <v>#REF!</v>
      </c>
    </row>
    <row r="27" spans="1:11" ht="15" customHeight="1" x14ac:dyDescent="0.25">
      <c r="A27" s="82"/>
      <c r="B27" s="56" t="e">
        <f>#REF!</f>
        <v>#REF!</v>
      </c>
      <c r="C27" s="57"/>
      <c r="D27" s="126"/>
      <c r="E27" s="87" t="e">
        <f>_xlfn.IFNA(VLOOKUP(K27,#REF!,6,0),0)</f>
        <v>#REF!</v>
      </c>
      <c r="F27" s="95" t="e">
        <f>VLOOKUP(B27,#REF!,7,0)</f>
        <v>#REF!</v>
      </c>
      <c r="G27" s="63"/>
      <c r="H27" s="63"/>
      <c r="J27" s="43" t="e">
        <f t="shared" si="0"/>
        <v>#REF!</v>
      </c>
      <c r="K27" s="43" t="e">
        <f t="shared" si="1"/>
        <v>#REF!</v>
      </c>
    </row>
    <row r="28" spans="1:11" ht="15" customHeight="1" x14ac:dyDescent="0.25">
      <c r="A28" s="82"/>
      <c r="B28" s="56" t="e">
        <f>#REF!</f>
        <v>#REF!</v>
      </c>
      <c r="C28" s="57"/>
      <c r="D28" s="126"/>
      <c r="E28" s="87" t="e">
        <f>_xlfn.IFNA(VLOOKUP(K28,#REF!,6,0),0)</f>
        <v>#REF!</v>
      </c>
      <c r="F28" s="95" t="e">
        <f>VLOOKUP(B28,#REF!,7,0)</f>
        <v>#REF!</v>
      </c>
      <c r="G28" s="63"/>
      <c r="H28" s="63"/>
      <c r="J28" s="43" t="e">
        <f t="shared" si="0"/>
        <v>#REF!</v>
      </c>
      <c r="K28" s="43" t="e">
        <f t="shared" si="1"/>
        <v>#REF!</v>
      </c>
    </row>
    <row r="29" spans="1:11" ht="15" hidden="1" customHeight="1" x14ac:dyDescent="0.25">
      <c r="A29" s="82"/>
      <c r="B29" s="56" t="e">
        <f>#REF!</f>
        <v>#REF!</v>
      </c>
      <c r="C29" s="57"/>
      <c r="D29" s="126"/>
      <c r="E29" s="87" t="e">
        <f>_xlfn.IFNA(VLOOKUP(K29,#REF!,6,0),0)</f>
        <v>#REF!</v>
      </c>
      <c r="F29" s="95" t="e">
        <f>VLOOKUP(B29,#REF!,7,0)</f>
        <v>#REF!</v>
      </c>
      <c r="G29" s="63"/>
      <c r="H29" s="63"/>
      <c r="J29" s="43" t="e">
        <f t="shared" si="0"/>
        <v>#REF!</v>
      </c>
      <c r="K29" s="43" t="e">
        <f t="shared" si="1"/>
        <v>#REF!</v>
      </c>
    </row>
    <row r="30" spans="1:11" ht="15" hidden="1" customHeight="1" x14ac:dyDescent="0.25">
      <c r="A30" s="82"/>
      <c r="B30" s="56" t="e">
        <f>#REF!</f>
        <v>#REF!</v>
      </c>
      <c r="C30" s="57"/>
      <c r="D30" s="126"/>
      <c r="E30" s="87" t="e">
        <f>_xlfn.IFNA(VLOOKUP(K30,#REF!,6,0),0)</f>
        <v>#REF!</v>
      </c>
      <c r="F30" s="95" t="e">
        <f>VLOOKUP(B30,#REF!,7,0)</f>
        <v>#REF!</v>
      </c>
      <c r="G30" s="63"/>
      <c r="H30" s="63"/>
      <c r="J30" s="43" t="e">
        <f t="shared" si="0"/>
        <v>#REF!</v>
      </c>
      <c r="K30" s="43" t="e">
        <f t="shared" si="1"/>
        <v>#REF!</v>
      </c>
    </row>
    <row r="31" spans="1:11" ht="15" customHeight="1" x14ac:dyDescent="0.25">
      <c r="A31" s="82"/>
      <c r="B31" s="56" t="e">
        <f>#REF!</f>
        <v>#REF!</v>
      </c>
      <c r="C31" s="57"/>
      <c r="D31" s="126"/>
      <c r="E31" s="87" t="e">
        <f>_xlfn.IFNA(VLOOKUP(K31,#REF!,6,0),0)</f>
        <v>#REF!</v>
      </c>
      <c r="F31" s="95" t="e">
        <f>VLOOKUP(B31,#REF!,7,0)</f>
        <v>#REF!</v>
      </c>
      <c r="G31" s="63"/>
      <c r="H31" s="63"/>
      <c r="J31" s="43" t="e">
        <f t="shared" si="0"/>
        <v>#REF!</v>
      </c>
      <c r="K31" s="43" t="e">
        <f t="shared" si="1"/>
        <v>#REF!</v>
      </c>
    </row>
    <row r="32" spans="1:11" ht="15" customHeight="1" x14ac:dyDescent="0.25">
      <c r="A32" s="82"/>
      <c r="B32" s="56" t="e">
        <f>#REF!</f>
        <v>#REF!</v>
      </c>
      <c r="C32" s="57"/>
      <c r="D32" s="126"/>
      <c r="E32" s="87" t="e">
        <f>_xlfn.IFNA(VLOOKUP(K32,#REF!,6,0),0)</f>
        <v>#REF!</v>
      </c>
      <c r="F32" s="95" t="e">
        <f>VLOOKUP(B32,#REF!,7,0)</f>
        <v>#REF!</v>
      </c>
      <c r="G32" s="63"/>
      <c r="H32" s="63"/>
      <c r="J32" s="43" t="e">
        <f t="shared" si="0"/>
        <v>#REF!</v>
      </c>
      <c r="K32" s="43" t="e">
        <f t="shared" si="1"/>
        <v>#REF!</v>
      </c>
    </row>
    <row r="33" spans="1:11" ht="15" hidden="1" customHeight="1" x14ac:dyDescent="0.25">
      <c r="A33" s="82"/>
      <c r="B33" s="56" t="e">
        <f>#REF!</f>
        <v>#REF!</v>
      </c>
      <c r="C33" s="57"/>
      <c r="D33" s="126"/>
      <c r="E33" s="87" t="e">
        <f>_xlfn.IFNA(VLOOKUP(K33,#REF!,6,0),0)</f>
        <v>#REF!</v>
      </c>
      <c r="F33" s="95" t="e">
        <f>VLOOKUP(B33,#REF!,7,0)</f>
        <v>#REF!</v>
      </c>
      <c r="G33" s="63"/>
      <c r="H33" s="63"/>
      <c r="J33" s="43" t="e">
        <f t="shared" si="0"/>
        <v>#REF!</v>
      </c>
      <c r="K33" s="43" t="e">
        <f t="shared" si="1"/>
        <v>#REF!</v>
      </c>
    </row>
    <row r="34" spans="1:11" ht="15" customHeight="1" x14ac:dyDescent="0.25">
      <c r="A34" s="108"/>
      <c r="B34" s="107" t="e">
        <f>#REF!</f>
        <v>#REF!</v>
      </c>
      <c r="C34" s="122"/>
      <c r="D34" s="123"/>
      <c r="E34" s="88" t="e">
        <f>_xlfn.IFNA(VLOOKUP(K34,#REF!,6,0),0)</f>
        <v>#REF!</v>
      </c>
      <c r="F34" s="96" t="e">
        <f>VLOOKUP(B34,#REF!,7,0)</f>
        <v>#REF!</v>
      </c>
      <c r="G34" s="61"/>
      <c r="H34" s="61"/>
      <c r="J34" s="43" t="e">
        <f t="shared" si="0"/>
        <v>#REF!</v>
      </c>
      <c r="K34" s="43" t="e">
        <f>B34&amp;$D$10</f>
        <v>#REF!</v>
      </c>
    </row>
    <row r="36" spans="1:11" x14ac:dyDescent="0.25">
      <c r="G36" s="43" t="s">
        <v>140</v>
      </c>
    </row>
    <row r="37" spans="1:11" x14ac:dyDescent="0.25">
      <c r="G37" s="43" t="s">
        <v>51</v>
      </c>
    </row>
    <row r="42" spans="1:11" x14ac:dyDescent="0.25">
      <c r="G42" s="46" t="s">
        <v>133</v>
      </c>
    </row>
    <row r="43" spans="1:11" x14ac:dyDescent="0.25">
      <c r="G43" s="46" t="s">
        <v>134</v>
      </c>
    </row>
    <row r="47" spans="1:11" x14ac:dyDescent="0.25">
      <c r="E47" s="64"/>
    </row>
    <row r="48" spans="1:11" x14ac:dyDescent="0.25">
      <c r="F48" s="47"/>
    </row>
  </sheetData>
  <autoFilter ref="J13:K34" xr:uid="{6B89887A-88C0-4833-A639-9890A5DB5FD2}">
    <filterColumn colId="0">
      <filters>
        <filter val="PRINT"/>
      </filters>
    </filterColumn>
  </autoFilter>
  <mergeCells count="8">
    <mergeCell ref="A8:H8"/>
    <mergeCell ref="J12:J13"/>
    <mergeCell ref="A12:A13"/>
    <mergeCell ref="B12:D13"/>
    <mergeCell ref="E12:E13"/>
    <mergeCell ref="F12:F13"/>
    <mergeCell ref="G12:G13"/>
    <mergeCell ref="H12:H13"/>
  </mergeCells>
  <pageMargins left="0.49" right="0.35433070866141736" top="0.39370078740157483" bottom="0.47244094488188981" header="0.31496062992125984" footer="0.31496062992125984"/>
  <pageSetup paperSize="10000" scale="95" orientation="portrait" horizont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24EE-1379-4DF4-B9F1-C77A34762AEB}">
  <sheetPr filterMode="1">
    <tabColor rgb="FF92D050"/>
  </sheetPr>
  <dimension ref="A1:NF46"/>
  <sheetViews>
    <sheetView view="pageBreakPreview" zoomScaleNormal="100" zoomScaleSheetLayoutView="100" workbookViewId="0">
      <selection activeCell="I23" sqref="I23"/>
    </sheetView>
  </sheetViews>
  <sheetFormatPr defaultRowHeight="15" x14ac:dyDescent="0.25"/>
  <cols>
    <col min="1" max="1" width="4.28515625" customWidth="1"/>
    <col min="2" max="2" width="10.140625" customWidth="1"/>
    <col min="3" max="3" width="56.7109375" customWidth="1"/>
    <col min="4" max="4" width="7.85546875" bestFit="1" customWidth="1"/>
    <col min="5" max="5" width="17.42578125" bestFit="1" customWidth="1"/>
    <col min="6" max="6" width="5.5703125" bestFit="1" customWidth="1"/>
    <col min="7" max="7" width="10.42578125" bestFit="1" customWidth="1"/>
    <col min="8" max="8" width="5.5703125" bestFit="1" customWidth="1"/>
    <col min="9" max="9" width="5.7109375" bestFit="1" customWidth="1"/>
    <col min="10" max="10" width="5.5703125" bestFit="1" customWidth="1"/>
    <col min="11" max="11" width="10.5703125" bestFit="1" customWidth="1"/>
    <col min="12" max="12" width="7.85546875" bestFit="1" customWidth="1"/>
    <col min="13" max="13" width="3.5703125" bestFit="1" customWidth="1"/>
  </cols>
  <sheetData>
    <row r="1" spans="1:370" s="17" customFormat="1" ht="11.25" x14ac:dyDescent="0.2">
      <c r="A1" s="200" t="s">
        <v>20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370" s="17" customFormat="1" ht="11.25" x14ac:dyDescent="0.2">
      <c r="A2" s="201" t="s">
        <v>115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pans="1:370" s="17" customFormat="1" ht="11.25" customHeight="1" x14ac:dyDescent="0.2">
      <c r="A3" s="199" t="s">
        <v>21</v>
      </c>
      <c r="B3" s="199"/>
      <c r="C3" s="18"/>
    </row>
    <row r="4" spans="1:370" s="17" customFormat="1" ht="11.25" customHeight="1" x14ac:dyDescent="0.2">
      <c r="A4" s="199" t="s">
        <v>22</v>
      </c>
      <c r="B4" s="199"/>
      <c r="C4" s="17" t="s">
        <v>116</v>
      </c>
    </row>
    <row r="5" spans="1:370" s="17" customFormat="1" ht="11.25" customHeight="1" x14ac:dyDescent="0.2">
      <c r="A5" s="199" t="s">
        <v>24</v>
      </c>
      <c r="B5" s="199"/>
      <c r="C5" s="100" t="s">
        <v>126</v>
      </c>
    </row>
    <row r="6" spans="1:370" s="17" customFormat="1" ht="11.25" customHeight="1" x14ac:dyDescent="0.2">
      <c r="A6" s="199" t="s">
        <v>25</v>
      </c>
      <c r="B6" s="199"/>
      <c r="C6" s="17" t="s">
        <v>128</v>
      </c>
    </row>
    <row r="7" spans="1:370" s="17" customFormat="1" ht="11.25" x14ac:dyDescent="0.2">
      <c r="A7" s="19"/>
      <c r="B7" s="19"/>
    </row>
    <row r="8" spans="1:370" s="20" customFormat="1" ht="18.75" customHeight="1" x14ac:dyDescent="0.25">
      <c r="A8" s="195" t="s">
        <v>1</v>
      </c>
      <c r="B8" s="195" t="s">
        <v>5</v>
      </c>
      <c r="C8" s="202" t="s">
        <v>2</v>
      </c>
      <c r="D8" s="195" t="s">
        <v>6</v>
      </c>
      <c r="E8" s="195" t="s">
        <v>7</v>
      </c>
      <c r="F8" s="193" t="s">
        <v>26</v>
      </c>
      <c r="G8" s="194"/>
      <c r="H8" s="193" t="s">
        <v>27</v>
      </c>
      <c r="I8" s="194"/>
      <c r="J8" s="193" t="s">
        <v>28</v>
      </c>
      <c r="K8" s="194"/>
      <c r="L8" s="195" t="s">
        <v>29</v>
      </c>
      <c r="M8" s="195" t="s">
        <v>30</v>
      </c>
      <c r="N8" s="236" t="s">
        <v>114</v>
      </c>
    </row>
    <row r="9" spans="1:370" s="20" customFormat="1" ht="21" x14ac:dyDescent="0.25">
      <c r="A9" s="196"/>
      <c r="B9" s="196"/>
      <c r="C9" s="203"/>
      <c r="D9" s="196"/>
      <c r="E9" s="196"/>
      <c r="F9" s="21" t="s">
        <v>3</v>
      </c>
      <c r="G9" s="21" t="s">
        <v>8</v>
      </c>
      <c r="H9" s="21" t="s">
        <v>3</v>
      </c>
      <c r="I9" s="21" t="s">
        <v>8</v>
      </c>
      <c r="J9" s="21" t="s">
        <v>3</v>
      </c>
      <c r="K9" s="21" t="s">
        <v>8</v>
      </c>
      <c r="L9" s="196"/>
      <c r="M9" s="196"/>
      <c r="N9" s="236"/>
    </row>
    <row r="10" spans="1:370" s="26" customFormat="1" ht="9.75" hidden="1" customHeight="1" x14ac:dyDescent="0.2">
      <c r="A10" s="25"/>
      <c r="B10" s="73"/>
      <c r="C10" s="23" t="str">
        <f>'2 NPB'!B14</f>
        <v>HVS F4</v>
      </c>
      <c r="D10" s="24"/>
      <c r="E10" s="15"/>
      <c r="F10" s="25" t="e">
        <f>VLOOKUP(C10,#REF!,4,0)</f>
        <v>#REF!</v>
      </c>
      <c r="G10" s="129" t="e">
        <f>VLOOKUP(C10,#REF!,7,0)</f>
        <v>#REF!</v>
      </c>
      <c r="H10" s="71" t="e">
        <f>VLOOKUP(C10,#REF!,2,0)-#REF!</f>
        <v>#REF!</v>
      </c>
      <c r="I10" s="98" t="e">
        <f>VLOOKUP(C10,#REF!,7,0)</f>
        <v>#REF!</v>
      </c>
      <c r="J10" s="25" t="e">
        <f>F10</f>
        <v>#REF!</v>
      </c>
      <c r="K10" s="129" t="e">
        <f>G10</f>
        <v>#REF!</v>
      </c>
      <c r="L10" s="25"/>
      <c r="M10" s="22"/>
      <c r="N10" s="17" t="e">
        <f>IF(F10&gt;0,"PRINT","NOPRINT")</f>
        <v>#REF!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</row>
    <row r="11" spans="1:370" s="26" customFormat="1" ht="9.75" customHeight="1" x14ac:dyDescent="0.2">
      <c r="A11" s="25"/>
      <c r="B11" s="73"/>
      <c r="C11" s="23">
        <f>'2 NPB'!B15</f>
        <v>0</v>
      </c>
      <c r="D11" s="24"/>
      <c r="E11" s="15"/>
      <c r="F11" s="25" t="e">
        <f>VLOOKUP(C11,#REF!,4,0)</f>
        <v>#REF!</v>
      </c>
      <c r="G11" s="129" t="e">
        <f>VLOOKUP(C11,#REF!,7,0)</f>
        <v>#REF!</v>
      </c>
      <c r="H11" s="71" t="e">
        <f>VLOOKUP(C11,#REF!,2,0)-#REF!</f>
        <v>#REF!</v>
      </c>
      <c r="I11" s="98" t="e">
        <f>VLOOKUP(C11,#REF!,7,0)</f>
        <v>#REF!</v>
      </c>
      <c r="J11" s="25" t="e">
        <f t="shared" ref="J11:K30" si="0">F11</f>
        <v>#REF!</v>
      </c>
      <c r="K11" s="129" t="e">
        <f t="shared" si="0"/>
        <v>#REF!</v>
      </c>
      <c r="L11" s="25"/>
      <c r="M11" s="22"/>
      <c r="N11" s="17" t="e">
        <f t="shared" ref="N11:N30" si="1">IF(F11&gt;0,"PRINT","NOPRINT")</f>
        <v>#REF!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</row>
    <row r="12" spans="1:370" s="26" customFormat="1" ht="9.75" hidden="1" customHeight="1" x14ac:dyDescent="0.2">
      <c r="A12" s="25"/>
      <c r="B12" s="73"/>
      <c r="C12" s="23">
        <f>'2 NPB'!B16</f>
        <v>0</v>
      </c>
      <c r="D12" s="24"/>
      <c r="E12" s="15"/>
      <c r="F12" s="25" t="e">
        <f>VLOOKUP(C12,#REF!,4,0)</f>
        <v>#REF!</v>
      </c>
      <c r="G12" s="129" t="e">
        <f>VLOOKUP(C12,#REF!,7,0)</f>
        <v>#REF!</v>
      </c>
      <c r="H12" s="71" t="e">
        <f>VLOOKUP(C12,#REF!,2,0)-#REF!</f>
        <v>#REF!</v>
      </c>
      <c r="I12" s="98" t="e">
        <f>VLOOKUP(C12,#REF!,7,0)</f>
        <v>#REF!</v>
      </c>
      <c r="J12" s="25" t="e">
        <f t="shared" si="0"/>
        <v>#REF!</v>
      </c>
      <c r="K12" s="129" t="e">
        <f t="shared" si="0"/>
        <v>#REF!</v>
      </c>
      <c r="L12" s="25"/>
      <c r="M12" s="22"/>
      <c r="N12" s="17" t="e">
        <f t="shared" si="1"/>
        <v>#REF!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</row>
    <row r="13" spans="1:370" s="26" customFormat="1" ht="9.75" hidden="1" customHeight="1" x14ac:dyDescent="0.2">
      <c r="A13" s="25"/>
      <c r="B13" s="73"/>
      <c r="C13" s="23">
        <f>'2 NPB'!B17</f>
        <v>0</v>
      </c>
      <c r="D13" s="24"/>
      <c r="E13" s="15"/>
      <c r="F13" s="25" t="e">
        <f>VLOOKUP(C13,#REF!,4,0)</f>
        <v>#REF!</v>
      </c>
      <c r="G13" s="129" t="e">
        <f>VLOOKUP(C13,#REF!,7,0)</f>
        <v>#REF!</v>
      </c>
      <c r="H13" s="71" t="e">
        <f>VLOOKUP(C13,#REF!,2,0)-#REF!</f>
        <v>#REF!</v>
      </c>
      <c r="I13" s="98" t="e">
        <f>VLOOKUP(C13,#REF!,7,0)</f>
        <v>#REF!</v>
      </c>
      <c r="J13" s="25" t="e">
        <f t="shared" si="0"/>
        <v>#REF!</v>
      </c>
      <c r="K13" s="129" t="e">
        <f t="shared" si="0"/>
        <v>#REF!</v>
      </c>
      <c r="L13" s="25"/>
      <c r="M13" s="22"/>
      <c r="N13" s="17" t="e">
        <f t="shared" si="1"/>
        <v>#REF!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</row>
    <row r="14" spans="1:370" s="26" customFormat="1" ht="9.75" hidden="1" customHeight="1" x14ac:dyDescent="0.2">
      <c r="A14" s="25"/>
      <c r="B14" s="73"/>
      <c r="C14" s="23">
        <f>'2 NPB'!B18</f>
        <v>0</v>
      </c>
      <c r="D14" s="24"/>
      <c r="E14" s="15"/>
      <c r="F14" s="25" t="e">
        <f>VLOOKUP(C14,#REF!,4,0)</f>
        <v>#REF!</v>
      </c>
      <c r="G14" s="129" t="e">
        <f>VLOOKUP(C14,#REF!,7,0)</f>
        <v>#REF!</v>
      </c>
      <c r="H14" s="71" t="e">
        <f>VLOOKUP(C14,#REF!,2,0)-#REF!</f>
        <v>#REF!</v>
      </c>
      <c r="I14" s="98" t="e">
        <f>VLOOKUP(C14,#REF!,7,0)</f>
        <v>#REF!</v>
      </c>
      <c r="J14" s="25" t="e">
        <f t="shared" si="0"/>
        <v>#REF!</v>
      </c>
      <c r="K14" s="129" t="e">
        <f t="shared" si="0"/>
        <v>#REF!</v>
      </c>
      <c r="L14" s="25"/>
      <c r="M14" s="22"/>
      <c r="N14" s="17" t="e">
        <f t="shared" si="1"/>
        <v>#REF!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</row>
    <row r="15" spans="1:370" s="26" customFormat="1" ht="9.75" customHeight="1" x14ac:dyDescent="0.2">
      <c r="A15" s="25"/>
      <c r="B15" s="73"/>
      <c r="C15" s="23">
        <f>'2 NPB'!B19</f>
        <v>0</v>
      </c>
      <c r="D15" s="24"/>
      <c r="E15" s="15"/>
      <c r="F15" s="25" t="e">
        <f>VLOOKUP(C15,#REF!,4,0)</f>
        <v>#REF!</v>
      </c>
      <c r="G15" s="129" t="e">
        <f>VLOOKUP(C15,#REF!,7,0)</f>
        <v>#REF!</v>
      </c>
      <c r="H15" s="71" t="e">
        <f>VLOOKUP(C15,#REF!,2,0)-#REF!</f>
        <v>#REF!</v>
      </c>
      <c r="I15" s="98" t="e">
        <f>VLOOKUP(C15,#REF!,7,0)</f>
        <v>#REF!</v>
      </c>
      <c r="J15" s="25" t="e">
        <f t="shared" si="0"/>
        <v>#REF!</v>
      </c>
      <c r="K15" s="129" t="e">
        <f t="shared" si="0"/>
        <v>#REF!</v>
      </c>
      <c r="L15" s="25"/>
      <c r="M15" s="22"/>
      <c r="N15" s="17" t="e">
        <f t="shared" si="1"/>
        <v>#REF!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</row>
    <row r="16" spans="1:370" s="26" customFormat="1" ht="9.75" customHeight="1" x14ac:dyDescent="0.2">
      <c r="A16" s="25"/>
      <c r="B16" s="73"/>
      <c r="C16" s="23">
        <f>'2 NPB'!B20</f>
        <v>0</v>
      </c>
      <c r="D16" s="24"/>
      <c r="E16" s="15"/>
      <c r="F16" s="25" t="e">
        <f>VLOOKUP(C16,#REF!,4,0)</f>
        <v>#REF!</v>
      </c>
      <c r="G16" s="129" t="e">
        <f>VLOOKUP(C16,#REF!,7,0)</f>
        <v>#REF!</v>
      </c>
      <c r="H16" s="71" t="e">
        <f>VLOOKUP(C16,#REF!,2,0)-#REF!</f>
        <v>#REF!</v>
      </c>
      <c r="I16" s="98" t="e">
        <f>VLOOKUP(C16,#REF!,7,0)</f>
        <v>#REF!</v>
      </c>
      <c r="J16" s="25" t="e">
        <f t="shared" si="0"/>
        <v>#REF!</v>
      </c>
      <c r="K16" s="129" t="e">
        <f t="shared" si="0"/>
        <v>#REF!</v>
      </c>
      <c r="L16" s="25"/>
      <c r="M16" s="22"/>
      <c r="N16" s="17" t="e">
        <f t="shared" si="1"/>
        <v>#REF!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</row>
    <row r="17" spans="1:370" s="26" customFormat="1" ht="9.75" hidden="1" customHeight="1" x14ac:dyDescent="0.2">
      <c r="A17" s="25"/>
      <c r="B17" s="73"/>
      <c r="C17" s="23">
        <f>'2 NPB'!B21</f>
        <v>0</v>
      </c>
      <c r="D17" s="24"/>
      <c r="E17" s="15"/>
      <c r="F17" s="25" t="e">
        <f>VLOOKUP(C17,#REF!,4,0)</f>
        <v>#REF!</v>
      </c>
      <c r="G17" s="129" t="e">
        <f>VLOOKUP(C17,#REF!,7,0)</f>
        <v>#REF!</v>
      </c>
      <c r="H17" s="71" t="e">
        <f>VLOOKUP(C17,#REF!,2,0)-#REF!</f>
        <v>#REF!</v>
      </c>
      <c r="I17" s="98" t="e">
        <f>VLOOKUP(C17,#REF!,7,0)</f>
        <v>#REF!</v>
      </c>
      <c r="J17" s="25" t="e">
        <f t="shared" si="0"/>
        <v>#REF!</v>
      </c>
      <c r="K17" s="129" t="e">
        <f t="shared" si="0"/>
        <v>#REF!</v>
      </c>
      <c r="L17" s="25"/>
      <c r="M17" s="22"/>
      <c r="N17" s="17" t="e">
        <f t="shared" si="1"/>
        <v>#REF!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</row>
    <row r="18" spans="1:370" s="26" customFormat="1" ht="9.75" hidden="1" customHeight="1" x14ac:dyDescent="0.2">
      <c r="A18" s="25"/>
      <c r="B18" s="73"/>
      <c r="C18" s="23">
        <f>'2 NPB'!B22</f>
        <v>0</v>
      </c>
      <c r="D18" s="24"/>
      <c r="E18" s="15"/>
      <c r="F18" s="25" t="e">
        <f>VLOOKUP(C18,#REF!,4,0)</f>
        <v>#REF!</v>
      </c>
      <c r="G18" s="129" t="e">
        <f>VLOOKUP(C18,#REF!,7,0)</f>
        <v>#REF!</v>
      </c>
      <c r="H18" s="71" t="e">
        <f>VLOOKUP(C18,#REF!,2,0)-#REF!</f>
        <v>#REF!</v>
      </c>
      <c r="I18" s="98" t="e">
        <f>VLOOKUP(C18,#REF!,7,0)</f>
        <v>#REF!</v>
      </c>
      <c r="J18" s="25" t="e">
        <f t="shared" si="0"/>
        <v>#REF!</v>
      </c>
      <c r="K18" s="129" t="e">
        <f t="shared" si="0"/>
        <v>#REF!</v>
      </c>
      <c r="L18" s="25"/>
      <c r="M18" s="22"/>
      <c r="N18" s="17" t="e">
        <f t="shared" si="1"/>
        <v>#REF!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</row>
    <row r="19" spans="1:370" s="26" customFormat="1" ht="9.75" hidden="1" customHeight="1" x14ac:dyDescent="0.2">
      <c r="A19" s="25"/>
      <c r="B19" s="73"/>
      <c r="C19" s="23">
        <f>'2 NPB'!B23</f>
        <v>0</v>
      </c>
      <c r="D19" s="24"/>
      <c r="E19" s="15"/>
      <c r="F19" s="25" t="e">
        <f>VLOOKUP(C19,#REF!,4,0)</f>
        <v>#REF!</v>
      </c>
      <c r="G19" s="129" t="e">
        <f>VLOOKUP(C19,#REF!,7,0)</f>
        <v>#REF!</v>
      </c>
      <c r="H19" s="71" t="e">
        <f>VLOOKUP(C19,#REF!,2,0)-#REF!</f>
        <v>#REF!</v>
      </c>
      <c r="I19" s="98" t="e">
        <f>VLOOKUP(C19,#REF!,7,0)</f>
        <v>#REF!</v>
      </c>
      <c r="J19" s="25" t="e">
        <f t="shared" si="0"/>
        <v>#REF!</v>
      </c>
      <c r="K19" s="129" t="e">
        <f t="shared" si="0"/>
        <v>#REF!</v>
      </c>
      <c r="L19" s="25"/>
      <c r="M19" s="22"/>
      <c r="N19" s="17" t="e">
        <f t="shared" si="1"/>
        <v>#REF!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</row>
    <row r="20" spans="1:370" s="26" customFormat="1" ht="9.75" hidden="1" customHeight="1" x14ac:dyDescent="0.2">
      <c r="A20" s="25"/>
      <c r="B20" s="73"/>
      <c r="C20" s="23">
        <f>'2 NPB'!B24</f>
        <v>0</v>
      </c>
      <c r="D20" s="24"/>
      <c r="E20" s="15"/>
      <c r="F20" s="25" t="e">
        <f>VLOOKUP(C20,#REF!,4,0)</f>
        <v>#REF!</v>
      </c>
      <c r="G20" s="129" t="e">
        <f>VLOOKUP(C20,#REF!,7,0)</f>
        <v>#REF!</v>
      </c>
      <c r="H20" s="71" t="e">
        <f>VLOOKUP(C20,#REF!,2,0)-#REF!</f>
        <v>#REF!</v>
      </c>
      <c r="I20" s="98" t="e">
        <f>VLOOKUP(C20,#REF!,7,0)</f>
        <v>#REF!</v>
      </c>
      <c r="J20" s="25" t="e">
        <f t="shared" si="0"/>
        <v>#REF!</v>
      </c>
      <c r="K20" s="129" t="e">
        <f t="shared" si="0"/>
        <v>#REF!</v>
      </c>
      <c r="L20" s="25"/>
      <c r="M20" s="22"/>
      <c r="N20" s="17" t="e">
        <f t="shared" si="1"/>
        <v>#REF!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</row>
    <row r="21" spans="1:370" s="26" customFormat="1" ht="9.75" hidden="1" customHeight="1" x14ac:dyDescent="0.2">
      <c r="A21" s="25"/>
      <c r="B21" s="73"/>
      <c r="C21" s="23">
        <f>'2 NPB'!B25</f>
        <v>0</v>
      </c>
      <c r="D21" s="24"/>
      <c r="E21" s="15"/>
      <c r="F21" s="25" t="e">
        <f>VLOOKUP(C21,#REF!,4,0)</f>
        <v>#REF!</v>
      </c>
      <c r="G21" s="129" t="e">
        <f>VLOOKUP(C21,#REF!,7,0)</f>
        <v>#REF!</v>
      </c>
      <c r="H21" s="71" t="e">
        <f>VLOOKUP(C21,#REF!,2,0)-#REF!</f>
        <v>#REF!</v>
      </c>
      <c r="I21" s="98" t="e">
        <f>VLOOKUP(C21,#REF!,7,0)</f>
        <v>#REF!</v>
      </c>
      <c r="J21" s="25" t="e">
        <f t="shared" si="0"/>
        <v>#REF!</v>
      </c>
      <c r="K21" s="129" t="e">
        <f t="shared" si="0"/>
        <v>#REF!</v>
      </c>
      <c r="L21" s="25"/>
      <c r="M21" s="22"/>
      <c r="N21" s="17" t="e">
        <f t="shared" si="1"/>
        <v>#REF!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</row>
    <row r="22" spans="1:370" s="26" customFormat="1" ht="9.75" hidden="1" customHeight="1" x14ac:dyDescent="0.2">
      <c r="A22" s="25"/>
      <c r="B22" s="73"/>
      <c r="C22" s="23">
        <f>'2 NPB'!B26</f>
        <v>0</v>
      </c>
      <c r="D22" s="24"/>
      <c r="E22" s="15"/>
      <c r="F22" s="25" t="e">
        <f>VLOOKUP(C22,#REF!,4,0)</f>
        <v>#REF!</v>
      </c>
      <c r="G22" s="129" t="e">
        <f>VLOOKUP(C22,#REF!,7,0)</f>
        <v>#REF!</v>
      </c>
      <c r="H22" s="71" t="e">
        <f>VLOOKUP(C22,#REF!,2,0)-#REF!</f>
        <v>#REF!</v>
      </c>
      <c r="I22" s="98" t="e">
        <f>VLOOKUP(C22,#REF!,7,0)</f>
        <v>#REF!</v>
      </c>
      <c r="J22" s="25" t="e">
        <f t="shared" si="0"/>
        <v>#REF!</v>
      </c>
      <c r="K22" s="129" t="e">
        <f t="shared" si="0"/>
        <v>#REF!</v>
      </c>
      <c r="L22" s="25"/>
      <c r="M22" s="22"/>
      <c r="N22" s="17" t="e">
        <f t="shared" si="1"/>
        <v>#REF!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</row>
    <row r="23" spans="1:370" s="26" customFormat="1" ht="9.75" customHeight="1" x14ac:dyDescent="0.2">
      <c r="A23" s="25"/>
      <c r="B23" s="73"/>
      <c r="C23" s="23">
        <f>'2 NPB'!B27</f>
        <v>0</v>
      </c>
      <c r="D23" s="24"/>
      <c r="E23" s="15"/>
      <c r="F23" s="25" t="e">
        <f>VLOOKUP(C23,#REF!,4,0)</f>
        <v>#REF!</v>
      </c>
      <c r="G23" s="129" t="e">
        <f>VLOOKUP(C23,#REF!,7,0)</f>
        <v>#REF!</v>
      </c>
      <c r="H23" s="71" t="e">
        <f>VLOOKUP(C23,#REF!,2,0)-#REF!</f>
        <v>#REF!</v>
      </c>
      <c r="I23" s="98" t="e">
        <f>VLOOKUP(C23,#REF!,7,0)</f>
        <v>#REF!</v>
      </c>
      <c r="J23" s="25" t="e">
        <f t="shared" si="0"/>
        <v>#REF!</v>
      </c>
      <c r="K23" s="129" t="e">
        <f t="shared" si="0"/>
        <v>#REF!</v>
      </c>
      <c r="L23" s="25"/>
      <c r="M23" s="22"/>
      <c r="N23" s="17" t="e">
        <f t="shared" si="1"/>
        <v>#REF!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</row>
    <row r="24" spans="1:370" s="26" customFormat="1" ht="9.75" customHeight="1" x14ac:dyDescent="0.2">
      <c r="A24" s="25"/>
      <c r="B24" s="73"/>
      <c r="C24" s="23">
        <f>'2 NPB'!B28</f>
        <v>0</v>
      </c>
      <c r="D24" s="24"/>
      <c r="E24" s="15"/>
      <c r="F24" s="25" t="e">
        <f>VLOOKUP(C24,#REF!,4,0)</f>
        <v>#REF!</v>
      </c>
      <c r="G24" s="129" t="e">
        <f>VLOOKUP(C24,#REF!,7,0)</f>
        <v>#REF!</v>
      </c>
      <c r="H24" s="71" t="e">
        <f>VLOOKUP(C24,#REF!,2,0)-#REF!</f>
        <v>#REF!</v>
      </c>
      <c r="I24" s="98" t="e">
        <f>VLOOKUP(C24,#REF!,7,0)</f>
        <v>#REF!</v>
      </c>
      <c r="J24" s="25" t="e">
        <f t="shared" si="0"/>
        <v>#REF!</v>
      </c>
      <c r="K24" s="129" t="e">
        <f t="shared" si="0"/>
        <v>#REF!</v>
      </c>
      <c r="L24" s="25"/>
      <c r="M24" s="22"/>
      <c r="N24" s="17" t="e">
        <f t="shared" si="1"/>
        <v>#REF!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</row>
    <row r="25" spans="1:370" s="26" customFormat="1" ht="9.75" hidden="1" customHeight="1" x14ac:dyDescent="0.2">
      <c r="A25" s="25"/>
      <c r="B25" s="73"/>
      <c r="C25" s="23">
        <f>'2 NPB'!B29</f>
        <v>0</v>
      </c>
      <c r="D25" s="24"/>
      <c r="E25" s="15"/>
      <c r="F25" s="25" t="e">
        <f>VLOOKUP(C25,#REF!,4,0)</f>
        <v>#REF!</v>
      </c>
      <c r="G25" s="129" t="e">
        <f>VLOOKUP(C25,#REF!,7,0)</f>
        <v>#REF!</v>
      </c>
      <c r="H25" s="71" t="e">
        <f>VLOOKUP(C25,#REF!,2,0)-#REF!</f>
        <v>#REF!</v>
      </c>
      <c r="I25" s="98" t="e">
        <f>VLOOKUP(C25,#REF!,7,0)</f>
        <v>#REF!</v>
      </c>
      <c r="J25" s="25" t="e">
        <f t="shared" si="0"/>
        <v>#REF!</v>
      </c>
      <c r="K25" s="129" t="e">
        <f t="shared" si="0"/>
        <v>#REF!</v>
      </c>
      <c r="L25" s="25"/>
      <c r="M25" s="22"/>
      <c r="N25" s="17" t="e">
        <f t="shared" si="1"/>
        <v>#REF!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</row>
    <row r="26" spans="1:370" s="26" customFormat="1" ht="9.75" hidden="1" customHeight="1" x14ac:dyDescent="0.2">
      <c r="A26" s="25"/>
      <c r="B26" s="73"/>
      <c r="C26" s="23">
        <f>'2 NPB'!B30</f>
        <v>0</v>
      </c>
      <c r="D26" s="24"/>
      <c r="E26" s="15"/>
      <c r="F26" s="25" t="e">
        <f>VLOOKUP(C26,#REF!,4,0)</f>
        <v>#REF!</v>
      </c>
      <c r="G26" s="129" t="e">
        <f>VLOOKUP(C26,#REF!,7,0)</f>
        <v>#REF!</v>
      </c>
      <c r="H26" s="71" t="e">
        <f>VLOOKUP(C26,#REF!,2,0)-#REF!</f>
        <v>#REF!</v>
      </c>
      <c r="I26" s="98" t="e">
        <f>VLOOKUP(C26,#REF!,7,0)</f>
        <v>#REF!</v>
      </c>
      <c r="J26" s="25" t="e">
        <f t="shared" si="0"/>
        <v>#REF!</v>
      </c>
      <c r="K26" s="129" t="e">
        <f t="shared" si="0"/>
        <v>#REF!</v>
      </c>
      <c r="L26" s="25"/>
      <c r="M26" s="22"/>
      <c r="N26" s="17" t="e">
        <f t="shared" si="1"/>
        <v>#REF!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</row>
    <row r="27" spans="1:370" s="26" customFormat="1" ht="9.75" customHeight="1" x14ac:dyDescent="0.2">
      <c r="A27" s="25"/>
      <c r="B27" s="73"/>
      <c r="C27" s="23">
        <f>'2 NPB'!B31</f>
        <v>0</v>
      </c>
      <c r="D27" s="24"/>
      <c r="E27" s="15"/>
      <c r="F27" s="25" t="e">
        <f>VLOOKUP(C27,#REF!,4,0)</f>
        <v>#REF!</v>
      </c>
      <c r="G27" s="129" t="e">
        <f>VLOOKUP(C27,#REF!,7,0)</f>
        <v>#REF!</v>
      </c>
      <c r="H27" s="71" t="e">
        <f>VLOOKUP(C27,#REF!,2,0)-#REF!</f>
        <v>#REF!</v>
      </c>
      <c r="I27" s="98" t="e">
        <f>VLOOKUP(C27,#REF!,7,0)</f>
        <v>#REF!</v>
      </c>
      <c r="J27" s="25" t="e">
        <f t="shared" si="0"/>
        <v>#REF!</v>
      </c>
      <c r="K27" s="129" t="e">
        <f t="shared" si="0"/>
        <v>#REF!</v>
      </c>
      <c r="L27" s="25"/>
      <c r="M27" s="22"/>
      <c r="N27" s="17" t="e">
        <f t="shared" si="1"/>
        <v>#REF!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</row>
    <row r="28" spans="1:370" s="26" customFormat="1" ht="9.75" customHeight="1" x14ac:dyDescent="0.2">
      <c r="A28" s="25"/>
      <c r="B28" s="73"/>
      <c r="C28" s="23">
        <f>'2 NPB'!B32</f>
        <v>0</v>
      </c>
      <c r="D28" s="24"/>
      <c r="E28" s="15"/>
      <c r="F28" s="25" t="e">
        <f>VLOOKUP(C28,#REF!,4,0)</f>
        <v>#REF!</v>
      </c>
      <c r="G28" s="129" t="e">
        <f>VLOOKUP(C28,#REF!,7,0)</f>
        <v>#REF!</v>
      </c>
      <c r="H28" s="71" t="e">
        <f>VLOOKUP(C28,#REF!,2,0)-#REF!</f>
        <v>#REF!</v>
      </c>
      <c r="I28" s="98" t="e">
        <f>VLOOKUP(C28,#REF!,7,0)</f>
        <v>#REF!</v>
      </c>
      <c r="J28" s="25" t="e">
        <f t="shared" si="0"/>
        <v>#REF!</v>
      </c>
      <c r="K28" s="129" t="e">
        <f t="shared" si="0"/>
        <v>#REF!</v>
      </c>
      <c r="L28" s="25"/>
      <c r="M28" s="22"/>
      <c r="N28" s="17" t="e">
        <f t="shared" si="1"/>
        <v>#REF!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</row>
    <row r="29" spans="1:370" s="26" customFormat="1" ht="9.75" hidden="1" customHeight="1" x14ac:dyDescent="0.2">
      <c r="A29" s="25"/>
      <c r="B29" s="73"/>
      <c r="C29" s="23">
        <f>'2 NPB'!B33</f>
        <v>0</v>
      </c>
      <c r="D29" s="24"/>
      <c r="E29" s="15"/>
      <c r="F29" s="25" t="e">
        <f>VLOOKUP(C29,#REF!,4,0)</f>
        <v>#REF!</v>
      </c>
      <c r="G29" s="129" t="e">
        <f>VLOOKUP(C29,#REF!,7,0)</f>
        <v>#REF!</v>
      </c>
      <c r="H29" s="71" t="e">
        <f>VLOOKUP(C29,#REF!,2,0)-#REF!</f>
        <v>#REF!</v>
      </c>
      <c r="I29" s="98" t="e">
        <f>VLOOKUP(C29,#REF!,7,0)</f>
        <v>#REF!</v>
      </c>
      <c r="J29" s="25" t="e">
        <f t="shared" si="0"/>
        <v>#REF!</v>
      </c>
      <c r="K29" s="129" t="e">
        <f t="shared" si="0"/>
        <v>#REF!</v>
      </c>
      <c r="L29" s="25"/>
      <c r="M29" s="22"/>
      <c r="N29" s="17" t="e">
        <f t="shared" si="1"/>
        <v>#REF!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</row>
    <row r="30" spans="1:370" s="26" customFormat="1" ht="9.75" customHeight="1" x14ac:dyDescent="0.2">
      <c r="A30" s="25"/>
      <c r="B30" s="73"/>
      <c r="C30" s="23">
        <f>'2 NPB'!B34</f>
        <v>0</v>
      </c>
      <c r="D30" s="24"/>
      <c r="E30" s="15"/>
      <c r="F30" s="25" t="e">
        <f>VLOOKUP(C30,#REF!,4,0)</f>
        <v>#REF!</v>
      </c>
      <c r="G30" s="129" t="e">
        <f>VLOOKUP(C30,#REF!,7,0)</f>
        <v>#REF!</v>
      </c>
      <c r="H30" s="71" t="e">
        <f>VLOOKUP(C30,#REF!,2,0)-#REF!</f>
        <v>#REF!</v>
      </c>
      <c r="I30" s="98" t="e">
        <f>VLOOKUP(C30,#REF!,7,0)</f>
        <v>#REF!</v>
      </c>
      <c r="J30" s="25" t="e">
        <f t="shared" si="0"/>
        <v>#REF!</v>
      </c>
      <c r="K30" s="129" t="e">
        <f t="shared" si="0"/>
        <v>#REF!</v>
      </c>
      <c r="L30" s="25"/>
      <c r="M30" s="22"/>
      <c r="N30" s="17" t="e">
        <f t="shared" si="1"/>
        <v>#REF!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</row>
    <row r="32" spans="1:370" x14ac:dyDescent="0.25">
      <c r="C32" s="89"/>
      <c r="F32" s="197" t="s">
        <v>123</v>
      </c>
      <c r="G32" s="197"/>
      <c r="H32" s="197"/>
      <c r="I32" s="197"/>
      <c r="J32" s="197"/>
      <c r="K32" s="197"/>
      <c r="L32" s="197"/>
      <c r="M32" s="197"/>
    </row>
    <row r="33" spans="3:13" x14ac:dyDescent="0.25">
      <c r="C33" s="89"/>
      <c r="F33" s="197" t="s">
        <v>95</v>
      </c>
      <c r="G33" s="197"/>
      <c r="H33" s="197"/>
      <c r="I33" s="197"/>
      <c r="J33" s="197"/>
      <c r="K33" s="197"/>
      <c r="L33" s="197"/>
      <c r="M33" s="197"/>
    </row>
    <row r="34" spans="3:13" x14ac:dyDescent="0.25">
      <c r="C34" s="79"/>
    </row>
    <row r="35" spans="3:13" x14ac:dyDescent="0.25">
      <c r="C35" s="79"/>
    </row>
    <row r="36" spans="3:13" x14ac:dyDescent="0.25">
      <c r="C36" s="79"/>
    </row>
    <row r="37" spans="3:13" x14ac:dyDescent="0.25">
      <c r="C37" s="79"/>
    </row>
    <row r="38" spans="3:13" x14ac:dyDescent="0.25">
      <c r="C38" s="78"/>
      <c r="H38" s="198" t="s">
        <v>96</v>
      </c>
      <c r="I38" s="198"/>
      <c r="J38" s="198"/>
      <c r="K38" s="198"/>
    </row>
    <row r="39" spans="3:13" x14ac:dyDescent="0.25">
      <c r="C39" s="78"/>
      <c r="H39" s="184" t="s">
        <v>97</v>
      </c>
      <c r="I39" s="184"/>
      <c r="J39" s="184"/>
      <c r="K39" s="184"/>
    </row>
    <row r="40" spans="3:13" x14ac:dyDescent="0.25">
      <c r="C40" s="27"/>
    </row>
    <row r="42" spans="3:13" x14ac:dyDescent="0.25">
      <c r="F42" s="27"/>
      <c r="G42" s="27"/>
      <c r="H42" s="27"/>
      <c r="I42" s="27"/>
      <c r="J42" s="27"/>
      <c r="K42" s="27"/>
      <c r="L42" s="27"/>
      <c r="M42" s="27"/>
    </row>
    <row r="43" spans="3:13" x14ac:dyDescent="0.25">
      <c r="F43" s="27"/>
      <c r="G43" s="27"/>
      <c r="H43" s="27"/>
      <c r="I43" s="27"/>
      <c r="J43" s="27"/>
      <c r="K43" s="27"/>
      <c r="L43" s="27"/>
      <c r="M43" s="27"/>
    </row>
    <row r="44" spans="3:13" x14ac:dyDescent="0.25">
      <c r="F44" s="27"/>
      <c r="G44" s="27"/>
      <c r="H44" s="27"/>
      <c r="I44" s="27"/>
      <c r="J44" s="27"/>
      <c r="K44" s="27"/>
      <c r="L44" s="27"/>
      <c r="M44" s="27"/>
    </row>
    <row r="46" spans="3:13" x14ac:dyDescent="0.25">
      <c r="F46" s="192"/>
      <c r="G46" s="192"/>
      <c r="H46" s="192"/>
      <c r="I46" s="192"/>
      <c r="J46" s="192"/>
      <c r="K46" s="192"/>
      <c r="L46" s="192"/>
      <c r="M46" s="192"/>
    </row>
  </sheetData>
  <autoFilter ref="N9:N30" xr:uid="{27D87FBE-9FA2-47E6-AEA9-3A8BD152FAA7}">
    <filterColumn colId="0">
      <filters>
        <filter val="PRINT"/>
      </filters>
    </filterColumn>
  </autoFilter>
  <mergeCells count="22">
    <mergeCell ref="F33:M33"/>
    <mergeCell ref="H38:K38"/>
    <mergeCell ref="H39:K39"/>
    <mergeCell ref="F46:M46"/>
    <mergeCell ref="H8:I8"/>
    <mergeCell ref="J8:K8"/>
    <mergeCell ref="L8:L9"/>
    <mergeCell ref="M8:M9"/>
    <mergeCell ref="N8:N9"/>
    <mergeCell ref="F32:M32"/>
    <mergeCell ref="A8:A9"/>
    <mergeCell ref="B8:B9"/>
    <mergeCell ref="C8:C9"/>
    <mergeCell ref="D8:D9"/>
    <mergeCell ref="E8:E9"/>
    <mergeCell ref="F8:G8"/>
    <mergeCell ref="A6:B6"/>
    <mergeCell ref="A1:M1"/>
    <mergeCell ref="A2:M2"/>
    <mergeCell ref="A3:B3"/>
    <mergeCell ref="A4:B4"/>
    <mergeCell ref="A5:B5"/>
  </mergeCells>
  <pageMargins left="0.61" right="0.11811023622047245" top="0.28000000000000003" bottom="0.31496062992125984" header="0.16" footer="0.11811023622047245"/>
  <pageSetup paperSize="1000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ADA4-D69C-40CD-9508-D8EF58095077}">
  <sheetPr filterMode="1">
    <tabColor rgb="FF92D050"/>
  </sheetPr>
  <dimension ref="A7:J55"/>
  <sheetViews>
    <sheetView showGridLines="0" view="pageBreakPreview" zoomScaleNormal="100" zoomScaleSheetLayoutView="100" workbookViewId="0">
      <pane xSplit="10" ySplit="6" topLeftCell="K7" activePane="bottomRight" state="frozen"/>
      <selection activeCell="I23" sqref="I23"/>
      <selection pane="topRight" activeCell="I23" sqref="I23"/>
      <selection pane="bottomLeft" activeCell="I23" sqref="I23"/>
      <selection pane="bottomRight" activeCell="I23" sqref="I23"/>
    </sheetView>
  </sheetViews>
  <sheetFormatPr defaultColWidth="9.140625" defaultRowHeight="15" x14ac:dyDescent="0.25"/>
  <cols>
    <col min="1" max="1" width="5.42578125" style="43" customWidth="1"/>
    <col min="2" max="2" width="13.7109375" style="43" customWidth="1"/>
    <col min="3" max="3" width="3.42578125" style="43" hidden="1" customWidth="1"/>
    <col min="4" max="4" width="37.42578125" style="43" customWidth="1"/>
    <col min="5" max="5" width="7.28515625" style="43" hidden="1" customWidth="1"/>
    <col min="6" max="6" width="11.28515625" style="43" customWidth="1"/>
    <col min="7" max="7" width="7.7109375" style="43" customWidth="1"/>
    <col min="8" max="8" width="7.5703125" style="43" customWidth="1"/>
    <col min="9" max="9" width="12.85546875" style="43" customWidth="1"/>
    <col min="10" max="10" width="12.28515625" style="43" customWidth="1"/>
    <col min="11" max="16384" width="9.140625" style="43"/>
  </cols>
  <sheetData>
    <row r="7" spans="1:10" ht="23.25" customHeight="1" x14ac:dyDescent="0.25">
      <c r="A7" s="186" t="s">
        <v>69</v>
      </c>
      <c r="B7" s="186"/>
      <c r="C7" s="186"/>
      <c r="D7" s="186"/>
      <c r="E7" s="186"/>
      <c r="F7" s="186"/>
      <c r="G7" s="186"/>
      <c r="H7" s="186"/>
      <c r="I7" s="186"/>
    </row>
    <row r="8" spans="1:10" x14ac:dyDescent="0.25">
      <c r="A8" s="186" t="s">
        <v>117</v>
      </c>
      <c r="B8" s="186"/>
      <c r="C8" s="186"/>
      <c r="D8" s="186"/>
      <c r="E8" s="186"/>
      <c r="F8" s="186"/>
      <c r="G8" s="186"/>
      <c r="H8" s="186"/>
      <c r="I8" s="186"/>
    </row>
    <row r="9" spans="1:10" x14ac:dyDescent="0.25">
      <c r="A9" s="46" t="s">
        <v>52</v>
      </c>
    </row>
    <row r="10" spans="1:10" x14ac:dyDescent="0.25">
      <c r="A10" s="47" t="s">
        <v>53</v>
      </c>
      <c r="D10" s="43" t="s">
        <v>118</v>
      </c>
    </row>
    <row r="11" spans="1:10" x14ac:dyDescent="0.25">
      <c r="A11" s="47" t="s">
        <v>54</v>
      </c>
      <c r="D11" s="101" t="s">
        <v>127</v>
      </c>
    </row>
    <row r="12" spans="1:10" x14ac:dyDescent="0.25">
      <c r="A12" s="47" t="s">
        <v>55</v>
      </c>
      <c r="D12" s="43" t="s">
        <v>128</v>
      </c>
    </row>
    <row r="13" spans="1:10" x14ac:dyDescent="0.25">
      <c r="A13" s="47"/>
    </row>
    <row r="14" spans="1:10" ht="26.25" customHeight="1" x14ac:dyDescent="0.25">
      <c r="A14" s="189" t="s">
        <v>1</v>
      </c>
      <c r="B14" s="189" t="s">
        <v>5</v>
      </c>
      <c r="C14" s="189"/>
      <c r="D14" s="190" t="s">
        <v>2</v>
      </c>
      <c r="E14" s="207"/>
      <c r="F14" s="189" t="s">
        <v>11</v>
      </c>
      <c r="G14" s="189" t="s">
        <v>56</v>
      </c>
      <c r="H14" s="189"/>
      <c r="I14" s="187" t="s">
        <v>30</v>
      </c>
      <c r="J14" s="237" t="s">
        <v>114</v>
      </c>
    </row>
    <row r="15" spans="1:10" ht="15.75" customHeight="1" x14ac:dyDescent="0.25">
      <c r="A15" s="189"/>
      <c r="B15" s="189"/>
      <c r="C15" s="189"/>
      <c r="D15" s="191"/>
      <c r="E15" s="208"/>
      <c r="F15" s="189"/>
      <c r="G15" s="49" t="s">
        <v>3</v>
      </c>
      <c r="H15" s="49" t="s">
        <v>57</v>
      </c>
      <c r="I15" s="188"/>
      <c r="J15" s="237"/>
    </row>
    <row r="16" spans="1:10" ht="16.5" hidden="1" customHeight="1" x14ac:dyDescent="0.25">
      <c r="A16" s="81"/>
      <c r="B16" s="205"/>
      <c r="C16" s="205"/>
      <c r="D16" s="53" t="str">
        <f>'3 SPB'!C10</f>
        <v>HVS F4</v>
      </c>
      <c r="E16" s="125"/>
      <c r="F16" s="76"/>
      <c r="G16" s="90" t="e">
        <f>'2 SPB BIDANG'!J10</f>
        <v>#REF!</v>
      </c>
      <c r="H16" s="62" t="e">
        <f>'2 SPB BIDANG'!K10</f>
        <v>#REF!</v>
      </c>
      <c r="I16" s="62"/>
      <c r="J16" s="43" t="e">
        <f>IF(G16&gt;0,"PRINT","NOPRINT")</f>
        <v>#REF!</v>
      </c>
    </row>
    <row r="17" spans="1:10" x14ac:dyDescent="0.25">
      <c r="A17" s="82"/>
      <c r="B17" s="213"/>
      <c r="C17" s="213"/>
      <c r="D17" s="56">
        <f>'3 SPB'!C11</f>
        <v>0</v>
      </c>
      <c r="E17" s="127"/>
      <c r="F17" s="77"/>
      <c r="G17" s="90" t="e">
        <f>'2 SPB BIDANG'!J11</f>
        <v>#REF!</v>
      </c>
      <c r="H17" s="63" t="e">
        <f>'2 SPB BIDANG'!K11</f>
        <v>#REF!</v>
      </c>
      <c r="I17" s="63"/>
      <c r="J17" s="43" t="e">
        <f t="shared" ref="J17:J36" si="0">IF(G17&gt;0,"PRINT","NOPRINT")</f>
        <v>#REF!</v>
      </c>
    </row>
    <row r="18" spans="1:10" hidden="1" x14ac:dyDescent="0.25">
      <c r="A18" s="82"/>
      <c r="B18" s="213"/>
      <c r="C18" s="213"/>
      <c r="D18" s="56">
        <f>'3 SPB'!C12</f>
        <v>0</v>
      </c>
      <c r="E18" s="127"/>
      <c r="F18" s="77"/>
      <c r="G18" s="90" t="e">
        <f>'2 SPB BIDANG'!J12</f>
        <v>#REF!</v>
      </c>
      <c r="H18" s="63" t="e">
        <f>'2 SPB BIDANG'!K12</f>
        <v>#REF!</v>
      </c>
      <c r="I18" s="63"/>
      <c r="J18" s="43" t="e">
        <f t="shared" si="0"/>
        <v>#REF!</v>
      </c>
    </row>
    <row r="19" spans="1:10" hidden="1" x14ac:dyDescent="0.25">
      <c r="A19" s="82"/>
      <c r="B19" s="213"/>
      <c r="C19" s="213"/>
      <c r="D19" s="56">
        <f>'3 SPB'!C13</f>
        <v>0</v>
      </c>
      <c r="E19" s="127"/>
      <c r="F19" s="77"/>
      <c r="G19" s="90" t="e">
        <f>'2 SPB BIDANG'!J13</f>
        <v>#REF!</v>
      </c>
      <c r="H19" s="63" t="e">
        <f>'2 SPB BIDANG'!K13</f>
        <v>#REF!</v>
      </c>
      <c r="I19" s="63"/>
      <c r="J19" s="43" t="e">
        <f t="shared" si="0"/>
        <v>#REF!</v>
      </c>
    </row>
    <row r="20" spans="1:10" hidden="1" x14ac:dyDescent="0.25">
      <c r="A20" s="82"/>
      <c r="B20" s="82"/>
      <c r="C20" s="82"/>
      <c r="D20" s="56">
        <f>'3 SPB'!C14</f>
        <v>0</v>
      </c>
      <c r="E20" s="127"/>
      <c r="F20" s="77"/>
      <c r="G20" s="90" t="e">
        <f>'2 SPB BIDANG'!J14</f>
        <v>#REF!</v>
      </c>
      <c r="H20" s="63" t="e">
        <f>'2 SPB BIDANG'!K14</f>
        <v>#REF!</v>
      </c>
      <c r="I20" s="63"/>
      <c r="J20" s="43" t="e">
        <f t="shared" si="0"/>
        <v>#REF!</v>
      </c>
    </row>
    <row r="21" spans="1:10" x14ac:dyDescent="0.25">
      <c r="A21" s="82"/>
      <c r="B21" s="82"/>
      <c r="C21" s="82"/>
      <c r="D21" s="56">
        <f>'3 SPB'!C15</f>
        <v>0</v>
      </c>
      <c r="E21" s="127"/>
      <c r="F21" s="77"/>
      <c r="G21" s="90" t="e">
        <f>'2 SPB BIDANG'!J15</f>
        <v>#REF!</v>
      </c>
      <c r="H21" s="63" t="e">
        <f>'2 SPB BIDANG'!K15</f>
        <v>#REF!</v>
      </c>
      <c r="I21" s="63"/>
      <c r="J21" s="43" t="e">
        <f t="shared" si="0"/>
        <v>#REF!</v>
      </c>
    </row>
    <row r="22" spans="1:10" x14ac:dyDescent="0.25">
      <c r="A22" s="82"/>
      <c r="B22" s="82"/>
      <c r="C22" s="82"/>
      <c r="D22" s="56">
        <f>'3 SPB'!C16</f>
        <v>0</v>
      </c>
      <c r="E22" s="127"/>
      <c r="F22" s="77"/>
      <c r="G22" s="90" t="e">
        <f>'2 SPB BIDANG'!J16</f>
        <v>#REF!</v>
      </c>
      <c r="H22" s="63" t="e">
        <f>'2 SPB BIDANG'!K16</f>
        <v>#REF!</v>
      </c>
      <c r="I22" s="63"/>
      <c r="J22" s="43" t="e">
        <f t="shared" si="0"/>
        <v>#REF!</v>
      </c>
    </row>
    <row r="23" spans="1:10" hidden="1" x14ac:dyDescent="0.25">
      <c r="A23" s="82"/>
      <c r="B23" s="82"/>
      <c r="C23" s="82"/>
      <c r="D23" s="56">
        <f>'3 SPB'!C17</f>
        <v>0</v>
      </c>
      <c r="E23" s="127"/>
      <c r="F23" s="77"/>
      <c r="G23" s="90" t="e">
        <f>'2 SPB BIDANG'!J17</f>
        <v>#REF!</v>
      </c>
      <c r="H23" s="63" t="e">
        <f>'2 SPB BIDANG'!K17</f>
        <v>#REF!</v>
      </c>
      <c r="I23" s="63"/>
      <c r="J23" s="43" t="e">
        <f t="shared" si="0"/>
        <v>#REF!</v>
      </c>
    </row>
    <row r="24" spans="1:10" hidden="1" x14ac:dyDescent="0.25">
      <c r="A24" s="82"/>
      <c r="B24" s="82"/>
      <c r="C24" s="82"/>
      <c r="D24" s="56">
        <f>'3 SPB'!C18</f>
        <v>0</v>
      </c>
      <c r="E24" s="127"/>
      <c r="F24" s="77"/>
      <c r="G24" s="90" t="e">
        <f>'2 SPB BIDANG'!J18</f>
        <v>#REF!</v>
      </c>
      <c r="H24" s="63" t="e">
        <f>'2 SPB BIDANG'!K18</f>
        <v>#REF!</v>
      </c>
      <c r="I24" s="63"/>
      <c r="J24" s="43" t="e">
        <f t="shared" si="0"/>
        <v>#REF!</v>
      </c>
    </row>
    <row r="25" spans="1:10" hidden="1" x14ac:dyDescent="0.25">
      <c r="A25" s="82"/>
      <c r="B25" s="82"/>
      <c r="C25" s="82"/>
      <c r="D25" s="56">
        <f>'3 SPB'!C19</f>
        <v>0</v>
      </c>
      <c r="E25" s="127"/>
      <c r="F25" s="77"/>
      <c r="G25" s="90" t="e">
        <f>'2 SPB BIDANG'!J19</f>
        <v>#REF!</v>
      </c>
      <c r="H25" s="63" t="e">
        <f>'2 SPB BIDANG'!K19</f>
        <v>#REF!</v>
      </c>
      <c r="I25" s="63"/>
      <c r="J25" s="43" t="e">
        <f t="shared" si="0"/>
        <v>#REF!</v>
      </c>
    </row>
    <row r="26" spans="1:10" hidden="1" x14ac:dyDescent="0.25">
      <c r="A26" s="82"/>
      <c r="B26" s="82"/>
      <c r="C26" s="82"/>
      <c r="D26" s="56">
        <f>'3 SPB'!C20</f>
        <v>0</v>
      </c>
      <c r="E26" s="127"/>
      <c r="F26" s="77"/>
      <c r="G26" s="90" t="e">
        <f>'2 SPB BIDANG'!J20</f>
        <v>#REF!</v>
      </c>
      <c r="H26" s="63" t="e">
        <f>'2 SPB BIDANG'!K20</f>
        <v>#REF!</v>
      </c>
      <c r="I26" s="63"/>
      <c r="J26" s="43" t="e">
        <f t="shared" si="0"/>
        <v>#REF!</v>
      </c>
    </row>
    <row r="27" spans="1:10" hidden="1" x14ac:dyDescent="0.25">
      <c r="A27" s="82"/>
      <c r="B27" s="82"/>
      <c r="C27" s="82"/>
      <c r="D27" s="56">
        <f>'3 SPB'!C21</f>
        <v>0</v>
      </c>
      <c r="E27" s="127"/>
      <c r="F27" s="77"/>
      <c r="G27" s="90" t="e">
        <f>'2 SPB BIDANG'!J21</f>
        <v>#REF!</v>
      </c>
      <c r="H27" s="63" t="e">
        <f>'2 SPB BIDANG'!K21</f>
        <v>#REF!</v>
      </c>
      <c r="I27" s="63"/>
      <c r="J27" s="43" t="e">
        <f t="shared" si="0"/>
        <v>#REF!</v>
      </c>
    </row>
    <row r="28" spans="1:10" hidden="1" x14ac:dyDescent="0.25">
      <c r="A28" s="82"/>
      <c r="B28" s="82"/>
      <c r="C28" s="82"/>
      <c r="D28" s="56">
        <f>'3 SPB'!C22</f>
        <v>0</v>
      </c>
      <c r="E28" s="127"/>
      <c r="F28" s="77"/>
      <c r="G28" s="90" t="e">
        <f>'2 SPB BIDANG'!J22</f>
        <v>#REF!</v>
      </c>
      <c r="H28" s="63" t="e">
        <f>'2 SPB BIDANG'!K22</f>
        <v>#REF!</v>
      </c>
      <c r="I28" s="63"/>
      <c r="J28" s="43" t="e">
        <f t="shared" si="0"/>
        <v>#REF!</v>
      </c>
    </row>
    <row r="29" spans="1:10" x14ac:dyDescent="0.25">
      <c r="A29" s="82"/>
      <c r="B29" s="82"/>
      <c r="C29" s="82"/>
      <c r="D29" s="56">
        <f>'3 SPB'!C23</f>
        <v>0</v>
      </c>
      <c r="E29" s="127"/>
      <c r="F29" s="77"/>
      <c r="G29" s="90" t="e">
        <f>'2 SPB BIDANG'!J23</f>
        <v>#REF!</v>
      </c>
      <c r="H29" s="63" t="e">
        <f>'2 SPB BIDANG'!K23</f>
        <v>#REF!</v>
      </c>
      <c r="I29" s="63"/>
      <c r="J29" s="43" t="e">
        <f t="shared" si="0"/>
        <v>#REF!</v>
      </c>
    </row>
    <row r="30" spans="1:10" x14ac:dyDescent="0.25">
      <c r="A30" s="82"/>
      <c r="B30" s="82"/>
      <c r="C30" s="82"/>
      <c r="D30" s="56">
        <f>'3 SPB'!C24</f>
        <v>0</v>
      </c>
      <c r="E30" s="127"/>
      <c r="F30" s="77"/>
      <c r="G30" s="90" t="e">
        <f>'2 SPB BIDANG'!J24</f>
        <v>#REF!</v>
      </c>
      <c r="H30" s="63" t="e">
        <f>'2 SPB BIDANG'!K24</f>
        <v>#REF!</v>
      </c>
      <c r="I30" s="63"/>
      <c r="J30" s="43" t="e">
        <f t="shared" si="0"/>
        <v>#REF!</v>
      </c>
    </row>
    <row r="31" spans="1:10" hidden="1" x14ac:dyDescent="0.25">
      <c r="A31" s="82"/>
      <c r="B31" s="82"/>
      <c r="C31" s="82"/>
      <c r="D31" s="56">
        <f>'3 SPB'!C25</f>
        <v>0</v>
      </c>
      <c r="E31" s="127"/>
      <c r="F31" s="77"/>
      <c r="G31" s="90" t="e">
        <f>'2 SPB BIDANG'!J25</f>
        <v>#REF!</v>
      </c>
      <c r="H31" s="63" t="e">
        <f>'2 SPB BIDANG'!K25</f>
        <v>#REF!</v>
      </c>
      <c r="I31" s="63"/>
      <c r="J31" s="43" t="e">
        <f t="shared" si="0"/>
        <v>#REF!</v>
      </c>
    </row>
    <row r="32" spans="1:10" hidden="1" x14ac:dyDescent="0.25">
      <c r="A32" s="82"/>
      <c r="B32" s="82"/>
      <c r="C32" s="82"/>
      <c r="D32" s="56">
        <f>'3 SPB'!C26</f>
        <v>0</v>
      </c>
      <c r="E32" s="127"/>
      <c r="F32" s="77"/>
      <c r="G32" s="90" t="e">
        <f>'2 SPB BIDANG'!J26</f>
        <v>#REF!</v>
      </c>
      <c r="H32" s="63" t="e">
        <f>'2 SPB BIDANG'!K26</f>
        <v>#REF!</v>
      </c>
      <c r="I32" s="63"/>
      <c r="J32" s="43" t="e">
        <f t="shared" si="0"/>
        <v>#REF!</v>
      </c>
    </row>
    <row r="33" spans="1:10" x14ac:dyDescent="0.25">
      <c r="A33" s="82"/>
      <c r="B33" s="82"/>
      <c r="C33" s="82"/>
      <c r="D33" s="56">
        <f>'3 SPB'!C27</f>
        <v>0</v>
      </c>
      <c r="E33" s="127"/>
      <c r="F33" s="77"/>
      <c r="G33" s="90" t="e">
        <f>'2 SPB BIDANG'!J27</f>
        <v>#REF!</v>
      </c>
      <c r="H33" s="63" t="e">
        <f>'2 SPB BIDANG'!K27</f>
        <v>#REF!</v>
      </c>
      <c r="I33" s="63"/>
      <c r="J33" s="43" t="e">
        <f t="shared" si="0"/>
        <v>#REF!</v>
      </c>
    </row>
    <row r="34" spans="1:10" x14ac:dyDescent="0.25">
      <c r="A34" s="82"/>
      <c r="B34" s="82"/>
      <c r="C34" s="82"/>
      <c r="D34" s="56">
        <f>'3 SPB'!C28</f>
        <v>0</v>
      </c>
      <c r="E34" s="127"/>
      <c r="F34" s="77"/>
      <c r="G34" s="90" t="e">
        <f>'2 SPB BIDANG'!J28</f>
        <v>#REF!</v>
      </c>
      <c r="H34" s="63" t="e">
        <f>'2 SPB BIDANG'!K28</f>
        <v>#REF!</v>
      </c>
      <c r="I34" s="63"/>
      <c r="J34" s="43" t="e">
        <f t="shared" si="0"/>
        <v>#REF!</v>
      </c>
    </row>
    <row r="35" spans="1:10" hidden="1" x14ac:dyDescent="0.25">
      <c r="A35" s="82"/>
      <c r="B35" s="82"/>
      <c r="C35" s="82"/>
      <c r="D35" s="56">
        <f>'3 SPB'!C29</f>
        <v>0</v>
      </c>
      <c r="E35" s="127"/>
      <c r="F35" s="77"/>
      <c r="G35" s="90" t="e">
        <f>'2 SPB BIDANG'!J29</f>
        <v>#REF!</v>
      </c>
      <c r="H35" s="63" t="e">
        <f>'2 SPB BIDANG'!K29</f>
        <v>#REF!</v>
      </c>
      <c r="I35" s="63"/>
      <c r="J35" s="43" t="e">
        <f t="shared" si="0"/>
        <v>#REF!</v>
      </c>
    </row>
    <row r="36" spans="1:10" x14ac:dyDescent="0.25">
      <c r="A36" s="108"/>
      <c r="B36" s="108"/>
      <c r="C36" s="108"/>
      <c r="D36" s="107">
        <f>'3 SPB'!C30</f>
        <v>0</v>
      </c>
      <c r="E36" s="128"/>
      <c r="F36" s="84"/>
      <c r="G36" s="99" t="e">
        <f>'2 SPB BIDANG'!J30</f>
        <v>#REF!</v>
      </c>
      <c r="H36" s="61" t="e">
        <f>'2 SPB BIDANG'!K30</f>
        <v>#REF!</v>
      </c>
      <c r="I36" s="61"/>
      <c r="J36" s="43" t="e">
        <f t="shared" si="0"/>
        <v>#REF!</v>
      </c>
    </row>
    <row r="37" spans="1:10" x14ac:dyDescent="0.25">
      <c r="A37" s="115"/>
      <c r="B37" s="115"/>
      <c r="C37" s="115"/>
      <c r="D37" s="47"/>
      <c r="E37" s="47"/>
      <c r="F37" s="116"/>
      <c r="G37" s="90"/>
      <c r="H37" s="117"/>
      <c r="I37" s="117"/>
    </row>
    <row r="38" spans="1:10" x14ac:dyDescent="0.25">
      <c r="A38" s="47"/>
      <c r="F38" s="43" t="s">
        <v>123</v>
      </c>
    </row>
    <row r="39" spans="1:10" x14ac:dyDescent="0.25">
      <c r="D39" s="74" t="s">
        <v>68</v>
      </c>
      <c r="F39" s="66" t="s">
        <v>98</v>
      </c>
    </row>
    <row r="40" spans="1:10" x14ac:dyDescent="0.25">
      <c r="F40" s="66"/>
    </row>
    <row r="41" spans="1:10" x14ac:dyDescent="0.25">
      <c r="A41" s="47"/>
      <c r="F41" s="66"/>
    </row>
    <row r="42" spans="1:10" x14ac:dyDescent="0.25">
      <c r="F42" s="67"/>
    </row>
    <row r="43" spans="1:10" x14ac:dyDescent="0.25">
      <c r="F43" s="67"/>
    </row>
    <row r="44" spans="1:10" x14ac:dyDescent="0.25">
      <c r="F44" s="67" t="s">
        <v>99</v>
      </c>
    </row>
    <row r="45" spans="1:10" x14ac:dyDescent="0.25">
      <c r="F45" s="67" t="s">
        <v>100</v>
      </c>
    </row>
    <row r="46" spans="1:10" x14ac:dyDescent="0.25">
      <c r="F46" s="67" t="s">
        <v>101</v>
      </c>
      <c r="G46" s="47"/>
    </row>
    <row r="47" spans="1:10" x14ac:dyDescent="0.25">
      <c r="E47" s="54"/>
    </row>
    <row r="54" spans="5:5" x14ac:dyDescent="0.25">
      <c r="E54" s="47"/>
    </row>
    <row r="55" spans="5:5" x14ac:dyDescent="0.25">
      <c r="E55" s="55"/>
    </row>
  </sheetData>
  <autoFilter ref="J14:J36" xr:uid="{8D9B7088-C091-4B62-9037-3E4544DC5E6F}">
    <filterColumn colId="0">
      <filters blank="1">
        <filter val="PRINT"/>
      </filters>
    </filterColumn>
  </autoFilter>
  <mergeCells count="13">
    <mergeCell ref="A7:I7"/>
    <mergeCell ref="A8:I8"/>
    <mergeCell ref="A14:A15"/>
    <mergeCell ref="B14:C15"/>
    <mergeCell ref="D14:E15"/>
    <mergeCell ref="F14:F15"/>
    <mergeCell ref="G14:H14"/>
    <mergeCell ref="I14:I15"/>
    <mergeCell ref="J14:J15"/>
    <mergeCell ref="B16:C16"/>
    <mergeCell ref="B17:C17"/>
    <mergeCell ref="B18:C18"/>
    <mergeCell ref="B19:C19"/>
  </mergeCells>
  <pageMargins left="0.70866141732283472" right="0.35433070866141736" top="0.39370078740157483" bottom="0.47244094488188981" header="0.31496062992125984" footer="0.31496062992125984"/>
  <pageSetup paperSize="10000" scale="90" orientation="portrait" horizont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167D-5C40-40A5-8D24-76CFDBA7FF14}">
  <sheetPr filterMode="1">
    <tabColor rgb="FF92D050"/>
  </sheetPr>
  <dimension ref="A8:J74"/>
  <sheetViews>
    <sheetView showGridLines="0" view="pageBreakPreview" zoomScaleNormal="100" zoomScaleSheetLayoutView="100" workbookViewId="0">
      <pane xSplit="8" ySplit="7" topLeftCell="I8" activePane="bottomRight" state="frozen"/>
      <selection activeCell="I23" sqref="I23"/>
      <selection pane="topRight" activeCell="I23" sqref="I23"/>
      <selection pane="bottomLeft" activeCell="I23" sqref="I23"/>
      <selection pane="bottomRight" activeCell="I23" sqref="I23"/>
    </sheetView>
  </sheetViews>
  <sheetFormatPr defaultColWidth="9.140625" defaultRowHeight="15" x14ac:dyDescent="0.25"/>
  <cols>
    <col min="1" max="1" width="4.28515625" style="43" customWidth="1"/>
    <col min="2" max="2" width="14.28515625" style="43" customWidth="1"/>
    <col min="3" max="3" width="1.85546875" style="43" customWidth="1"/>
    <col min="4" max="4" width="36.5703125" style="43" customWidth="1"/>
    <col min="5" max="5" width="14" style="43" customWidth="1"/>
    <col min="6" max="6" width="8.140625" style="43" customWidth="1"/>
    <col min="7" max="7" width="7.42578125" style="43" customWidth="1"/>
    <col min="8" max="8" width="17" style="43" customWidth="1"/>
    <col min="9" max="16384" width="9.140625" style="43"/>
  </cols>
  <sheetData>
    <row r="8" spans="1:8" x14ac:dyDescent="0.25">
      <c r="A8" s="44" t="s">
        <v>66</v>
      </c>
      <c r="B8" s="45"/>
      <c r="C8" s="45"/>
      <c r="D8" s="45"/>
      <c r="E8" s="45"/>
      <c r="F8" s="45"/>
      <c r="G8" s="45"/>
    </row>
    <row r="9" spans="1:8" x14ac:dyDescent="0.25">
      <c r="A9" s="44" t="s">
        <v>67</v>
      </c>
      <c r="B9" s="45"/>
      <c r="C9" s="45"/>
      <c r="D9" s="45"/>
      <c r="E9" s="45"/>
      <c r="F9" s="45"/>
      <c r="G9" s="45"/>
    </row>
    <row r="10" spans="1:8" x14ac:dyDescent="0.25">
      <c r="A10" s="44" t="s">
        <v>119</v>
      </c>
      <c r="B10" s="45"/>
      <c r="C10" s="45"/>
      <c r="D10" s="45"/>
      <c r="E10" s="45"/>
      <c r="F10" s="45"/>
      <c r="G10" s="45"/>
      <c r="H10" s="45"/>
    </row>
    <row r="11" spans="1:8" ht="30.75" customHeight="1" x14ac:dyDescent="0.25">
      <c r="A11" s="214" t="s">
        <v>124</v>
      </c>
      <c r="B11" s="214"/>
      <c r="C11" s="214"/>
      <c r="D11" s="214"/>
      <c r="E11" s="214"/>
      <c r="F11" s="214"/>
      <c r="G11" s="214"/>
      <c r="H11" s="214"/>
    </row>
    <row r="13" spans="1:8" x14ac:dyDescent="0.25">
      <c r="A13" s="43" t="s">
        <v>39</v>
      </c>
      <c r="B13" s="43" t="s">
        <v>4</v>
      </c>
      <c r="D13" s="43" t="s">
        <v>102</v>
      </c>
    </row>
    <row r="14" spans="1:8" x14ac:dyDescent="0.25">
      <c r="B14" s="43" t="s">
        <v>40</v>
      </c>
      <c r="C14" s="48"/>
      <c r="D14" s="48" t="s">
        <v>103</v>
      </c>
    </row>
    <row r="15" spans="1:8" x14ac:dyDescent="0.25">
      <c r="B15" s="43" t="s">
        <v>41</v>
      </c>
      <c r="D15" s="43" t="s">
        <v>104</v>
      </c>
    </row>
    <row r="16" spans="1:8" x14ac:dyDescent="0.25">
      <c r="B16" s="47" t="s">
        <v>42</v>
      </c>
    </row>
    <row r="17" spans="1:10" ht="3" customHeight="1" x14ac:dyDescent="0.25"/>
    <row r="18" spans="1:10" x14ac:dyDescent="0.25">
      <c r="A18" s="43" t="s">
        <v>43</v>
      </c>
      <c r="B18" s="43" t="s">
        <v>4</v>
      </c>
      <c r="D18" s="43" t="s">
        <v>135</v>
      </c>
    </row>
    <row r="19" spans="1:10" x14ac:dyDescent="0.25">
      <c r="B19" s="43" t="s">
        <v>40</v>
      </c>
      <c r="D19" s="43" t="s">
        <v>136</v>
      </c>
    </row>
    <row r="20" spans="1:10" x14ac:dyDescent="0.25">
      <c r="B20" s="43" t="s">
        <v>58</v>
      </c>
      <c r="D20" s="43" t="s">
        <v>137</v>
      </c>
    </row>
    <row r="21" spans="1:10" x14ac:dyDescent="0.25">
      <c r="B21" s="43" t="s">
        <v>59</v>
      </c>
    </row>
    <row r="22" spans="1:10" x14ac:dyDescent="0.25">
      <c r="B22" s="43" t="s">
        <v>60</v>
      </c>
    </row>
    <row r="24" spans="1:10" ht="30.6" customHeight="1" x14ac:dyDescent="0.25">
      <c r="A24" s="215" t="s">
        <v>125</v>
      </c>
      <c r="B24" s="215"/>
      <c r="C24" s="215"/>
      <c r="D24" s="215"/>
      <c r="E24" s="215"/>
      <c r="F24" s="215"/>
      <c r="G24" s="215"/>
      <c r="H24" s="215"/>
    </row>
    <row r="26" spans="1:10" ht="16.5" customHeight="1" x14ac:dyDescent="0.25">
      <c r="A26" s="189" t="s">
        <v>1</v>
      </c>
      <c r="B26" s="189" t="s">
        <v>5</v>
      </c>
      <c r="C26" s="189"/>
      <c r="D26" s="190" t="s">
        <v>2</v>
      </c>
      <c r="E26" s="189" t="s">
        <v>11</v>
      </c>
      <c r="F26" s="187" t="s">
        <v>3</v>
      </c>
      <c r="G26" s="187" t="s">
        <v>57</v>
      </c>
      <c r="H26" s="187" t="s">
        <v>30</v>
      </c>
      <c r="J26" s="235" t="s">
        <v>114</v>
      </c>
    </row>
    <row r="27" spans="1:10" x14ac:dyDescent="0.25">
      <c r="A27" s="189"/>
      <c r="B27" s="189"/>
      <c r="C27" s="189"/>
      <c r="D27" s="191"/>
      <c r="E27" s="189"/>
      <c r="F27" s="188"/>
      <c r="G27" s="188"/>
      <c r="H27" s="188"/>
      <c r="J27" s="235"/>
    </row>
    <row r="28" spans="1:10" ht="16.5" hidden="1" customHeight="1" x14ac:dyDescent="0.25">
      <c r="A28" s="81"/>
      <c r="B28" s="205"/>
      <c r="C28" s="205"/>
      <c r="D28" s="124" t="str">
        <f>'4 SPPB'!E16</f>
        <v>HVS F4</v>
      </c>
      <c r="E28" s="58"/>
      <c r="F28" s="90" t="e">
        <f>'2 SPPB BIDANG'!G16</f>
        <v>#REF!</v>
      </c>
      <c r="G28" s="62" t="e">
        <f>'2 SPPB BIDANG'!H16</f>
        <v>#REF!</v>
      </c>
      <c r="H28" s="62"/>
      <c r="J28" s="43" t="e">
        <f>IF(F28&gt;0,"PRINT","NOPRINT")</f>
        <v>#REF!</v>
      </c>
    </row>
    <row r="29" spans="1:10" ht="16.5" customHeight="1" x14ac:dyDescent="0.25">
      <c r="A29" s="82"/>
      <c r="B29" s="211"/>
      <c r="C29" s="212"/>
      <c r="D29" s="47">
        <f>'4 SPPB'!E17</f>
        <v>0</v>
      </c>
      <c r="E29" s="60"/>
      <c r="F29" s="90" t="e">
        <f>'2 SPPB BIDANG'!G17</f>
        <v>#REF!</v>
      </c>
      <c r="G29" s="63" t="e">
        <f>'2 SPPB BIDANG'!H17</f>
        <v>#REF!</v>
      </c>
      <c r="H29" s="63"/>
      <c r="J29" s="43" t="e">
        <f t="shared" ref="J29:J48" si="0">IF(F29&gt;0,"PRINT","NOPRINT")</f>
        <v>#REF!</v>
      </c>
    </row>
    <row r="30" spans="1:10" ht="16.5" hidden="1" customHeight="1" x14ac:dyDescent="0.25">
      <c r="A30" s="82"/>
      <c r="B30" s="213"/>
      <c r="C30" s="213"/>
      <c r="D30" s="47">
        <f>'4 SPPB'!E18</f>
        <v>0</v>
      </c>
      <c r="E30" s="60"/>
      <c r="F30" s="90" t="e">
        <f>'2 SPPB BIDANG'!G18</f>
        <v>#REF!</v>
      </c>
      <c r="G30" s="63" t="e">
        <f>'2 SPPB BIDANG'!H18</f>
        <v>#REF!</v>
      </c>
      <c r="H30" s="63"/>
      <c r="J30" s="43" t="e">
        <f t="shared" si="0"/>
        <v>#REF!</v>
      </c>
    </row>
    <row r="31" spans="1:10" ht="16.5" hidden="1" customHeight="1" x14ac:dyDescent="0.25">
      <c r="A31" s="82"/>
      <c r="B31" s="211"/>
      <c r="C31" s="212"/>
      <c r="D31" s="47">
        <f>'4 SPPB'!E19</f>
        <v>0</v>
      </c>
      <c r="E31" s="60"/>
      <c r="F31" s="90" t="e">
        <f>'2 SPPB BIDANG'!G19</f>
        <v>#REF!</v>
      </c>
      <c r="G31" s="63" t="e">
        <f>'2 SPPB BIDANG'!H19</f>
        <v>#REF!</v>
      </c>
      <c r="H31" s="63"/>
      <c r="J31" s="43" t="e">
        <f t="shared" si="0"/>
        <v>#REF!</v>
      </c>
    </row>
    <row r="32" spans="1:10" ht="16.5" hidden="1" customHeight="1" x14ac:dyDescent="0.25">
      <c r="A32" s="82"/>
      <c r="B32" s="213"/>
      <c r="C32" s="213"/>
      <c r="D32" s="47">
        <f>'4 SPPB'!E20</f>
        <v>0</v>
      </c>
      <c r="E32" s="60"/>
      <c r="F32" s="90" t="e">
        <f>'2 SPPB BIDANG'!G20</f>
        <v>#REF!</v>
      </c>
      <c r="G32" s="63" t="e">
        <f>'2 SPPB BIDANG'!H20</f>
        <v>#REF!</v>
      </c>
      <c r="H32" s="63"/>
      <c r="J32" s="43" t="e">
        <f t="shared" si="0"/>
        <v>#REF!</v>
      </c>
    </row>
    <row r="33" spans="1:10" ht="16.5" customHeight="1" x14ac:dyDescent="0.25">
      <c r="A33" s="82"/>
      <c r="B33" s="211"/>
      <c r="C33" s="212"/>
      <c r="D33" s="47">
        <f>'4 SPPB'!E21</f>
        <v>0</v>
      </c>
      <c r="E33" s="60"/>
      <c r="F33" s="90" t="e">
        <f>'2 SPPB BIDANG'!G21</f>
        <v>#REF!</v>
      </c>
      <c r="G33" s="63" t="e">
        <f>'2 SPPB BIDANG'!H21</f>
        <v>#REF!</v>
      </c>
      <c r="H33" s="63"/>
      <c r="J33" s="43" t="e">
        <f t="shared" si="0"/>
        <v>#REF!</v>
      </c>
    </row>
    <row r="34" spans="1:10" ht="16.5" customHeight="1" x14ac:dyDescent="0.25">
      <c r="A34" s="82"/>
      <c r="B34" s="213"/>
      <c r="C34" s="213"/>
      <c r="D34" s="47">
        <f>'4 SPPB'!E22</f>
        <v>0</v>
      </c>
      <c r="E34" s="60"/>
      <c r="F34" s="90" t="e">
        <f>'2 SPPB BIDANG'!G22</f>
        <v>#REF!</v>
      </c>
      <c r="G34" s="63" t="e">
        <f>'2 SPPB BIDANG'!H22</f>
        <v>#REF!</v>
      </c>
      <c r="H34" s="63"/>
      <c r="J34" s="43" t="e">
        <f t="shared" si="0"/>
        <v>#REF!</v>
      </c>
    </row>
    <row r="35" spans="1:10" ht="16.5" hidden="1" customHeight="1" x14ac:dyDescent="0.25">
      <c r="A35" s="82"/>
      <c r="B35" s="211"/>
      <c r="C35" s="212"/>
      <c r="D35" s="47">
        <f>'4 SPPB'!E23</f>
        <v>0</v>
      </c>
      <c r="E35" s="60"/>
      <c r="F35" s="90" t="e">
        <f>'2 SPPB BIDANG'!G23</f>
        <v>#REF!</v>
      </c>
      <c r="G35" s="63" t="e">
        <f>'2 SPPB BIDANG'!H23</f>
        <v>#REF!</v>
      </c>
      <c r="H35" s="63"/>
      <c r="J35" s="43" t="e">
        <f t="shared" si="0"/>
        <v>#REF!</v>
      </c>
    </row>
    <row r="36" spans="1:10" ht="16.5" hidden="1" customHeight="1" x14ac:dyDescent="0.25">
      <c r="A36" s="82"/>
      <c r="B36" s="213"/>
      <c r="C36" s="213"/>
      <c r="D36" s="47">
        <f>'4 SPPB'!E24</f>
        <v>0</v>
      </c>
      <c r="E36" s="60"/>
      <c r="F36" s="90" t="e">
        <f>'2 SPPB BIDANG'!G24</f>
        <v>#REF!</v>
      </c>
      <c r="G36" s="63" t="e">
        <f>'2 SPPB BIDANG'!H24</f>
        <v>#REF!</v>
      </c>
      <c r="H36" s="63"/>
      <c r="J36" s="43" t="e">
        <f t="shared" si="0"/>
        <v>#REF!</v>
      </c>
    </row>
    <row r="37" spans="1:10" ht="16.5" hidden="1" customHeight="1" x14ac:dyDescent="0.25">
      <c r="A37" s="82"/>
      <c r="B37" s="211"/>
      <c r="C37" s="212"/>
      <c r="D37" s="47">
        <f>'4 SPPB'!E25</f>
        <v>0</v>
      </c>
      <c r="E37" s="60"/>
      <c r="F37" s="90" t="e">
        <f>'2 SPPB BIDANG'!G25</f>
        <v>#REF!</v>
      </c>
      <c r="G37" s="63" t="e">
        <f>'2 SPPB BIDANG'!H25</f>
        <v>#REF!</v>
      </c>
      <c r="H37" s="63"/>
      <c r="J37" s="43" t="e">
        <f t="shared" si="0"/>
        <v>#REF!</v>
      </c>
    </row>
    <row r="38" spans="1:10" ht="16.5" hidden="1" customHeight="1" x14ac:dyDescent="0.25">
      <c r="A38" s="82"/>
      <c r="B38" s="213"/>
      <c r="C38" s="213"/>
      <c r="D38" s="47">
        <f>'4 SPPB'!E26</f>
        <v>0</v>
      </c>
      <c r="E38" s="60"/>
      <c r="F38" s="90" t="e">
        <f>'2 SPPB BIDANG'!G26</f>
        <v>#REF!</v>
      </c>
      <c r="G38" s="63" t="e">
        <f>'2 SPPB BIDANG'!H26</f>
        <v>#REF!</v>
      </c>
      <c r="H38" s="63"/>
      <c r="J38" s="43" t="e">
        <f t="shared" si="0"/>
        <v>#REF!</v>
      </c>
    </row>
    <row r="39" spans="1:10" ht="16.5" hidden="1" customHeight="1" x14ac:dyDescent="0.25">
      <c r="A39" s="82"/>
      <c r="B39" s="211"/>
      <c r="C39" s="212"/>
      <c r="D39" s="47">
        <f>'4 SPPB'!E27</f>
        <v>0</v>
      </c>
      <c r="E39" s="60"/>
      <c r="F39" s="90" t="e">
        <f>'2 SPPB BIDANG'!G27</f>
        <v>#REF!</v>
      </c>
      <c r="G39" s="63" t="e">
        <f>'2 SPPB BIDANG'!H27</f>
        <v>#REF!</v>
      </c>
      <c r="H39" s="63"/>
      <c r="J39" s="43" t="e">
        <f t="shared" si="0"/>
        <v>#REF!</v>
      </c>
    </row>
    <row r="40" spans="1:10" ht="16.5" hidden="1" customHeight="1" x14ac:dyDescent="0.25">
      <c r="A40" s="82"/>
      <c r="B40" s="213"/>
      <c r="C40" s="213"/>
      <c r="D40" s="47">
        <f>'4 SPPB'!E28</f>
        <v>0</v>
      </c>
      <c r="E40" s="60"/>
      <c r="F40" s="90" t="e">
        <f>'2 SPPB BIDANG'!G28</f>
        <v>#REF!</v>
      </c>
      <c r="G40" s="63" t="e">
        <f>'2 SPPB BIDANG'!H28</f>
        <v>#REF!</v>
      </c>
      <c r="H40" s="63"/>
      <c r="J40" s="43" t="e">
        <f t="shared" si="0"/>
        <v>#REF!</v>
      </c>
    </row>
    <row r="41" spans="1:10" ht="16.5" customHeight="1" x14ac:dyDescent="0.25">
      <c r="A41" s="82"/>
      <c r="B41" s="132"/>
      <c r="C41" s="133"/>
      <c r="D41" s="47">
        <f>'4 SPPB'!E29</f>
        <v>0</v>
      </c>
      <c r="E41" s="60"/>
      <c r="F41" s="90" t="e">
        <f>'2 SPPB BIDANG'!G29</f>
        <v>#REF!</v>
      </c>
      <c r="G41" s="63" t="e">
        <f>'2 SPPB BIDANG'!H29</f>
        <v>#REF!</v>
      </c>
      <c r="H41" s="63"/>
      <c r="J41" s="43" t="e">
        <f t="shared" si="0"/>
        <v>#REF!</v>
      </c>
    </row>
    <row r="42" spans="1:10" ht="16.5" customHeight="1" x14ac:dyDescent="0.25">
      <c r="A42" s="82"/>
      <c r="B42" s="132"/>
      <c r="C42" s="133"/>
      <c r="D42" s="47">
        <f>'4 SPPB'!E30</f>
        <v>0</v>
      </c>
      <c r="E42" s="60"/>
      <c r="F42" s="90" t="e">
        <f>'2 SPPB BIDANG'!G30</f>
        <v>#REF!</v>
      </c>
      <c r="G42" s="63" t="e">
        <f>'2 SPPB BIDANG'!H30</f>
        <v>#REF!</v>
      </c>
      <c r="H42" s="63"/>
      <c r="J42" s="43" t="e">
        <f t="shared" si="0"/>
        <v>#REF!</v>
      </c>
    </row>
    <row r="43" spans="1:10" ht="16.5" hidden="1" customHeight="1" x14ac:dyDescent="0.25">
      <c r="A43" s="82"/>
      <c r="B43" s="132"/>
      <c r="C43" s="133"/>
      <c r="D43" s="47">
        <f>'4 SPPB'!E31</f>
        <v>0</v>
      </c>
      <c r="E43" s="60"/>
      <c r="F43" s="90" t="e">
        <f>'2 SPPB BIDANG'!G31</f>
        <v>#REF!</v>
      </c>
      <c r="G43" s="63" t="e">
        <f>'2 SPPB BIDANG'!H31</f>
        <v>#REF!</v>
      </c>
      <c r="H43" s="63"/>
      <c r="J43" s="43" t="e">
        <f t="shared" si="0"/>
        <v>#REF!</v>
      </c>
    </row>
    <row r="44" spans="1:10" ht="16.5" hidden="1" customHeight="1" x14ac:dyDescent="0.25">
      <c r="A44" s="82"/>
      <c r="B44" s="132"/>
      <c r="C44" s="133"/>
      <c r="D44" s="47">
        <f>'4 SPPB'!E32</f>
        <v>0</v>
      </c>
      <c r="E44" s="60"/>
      <c r="F44" s="90" t="e">
        <f>'2 SPPB BIDANG'!G32</f>
        <v>#REF!</v>
      </c>
      <c r="G44" s="63" t="e">
        <f>'2 SPPB BIDANG'!H32</f>
        <v>#REF!</v>
      </c>
      <c r="H44" s="63"/>
      <c r="J44" s="43" t="e">
        <f t="shared" si="0"/>
        <v>#REF!</v>
      </c>
    </row>
    <row r="45" spans="1:10" ht="16.5" customHeight="1" x14ac:dyDescent="0.25">
      <c r="A45" s="82"/>
      <c r="B45" s="132"/>
      <c r="C45" s="133"/>
      <c r="D45" s="47">
        <f>'4 SPPB'!E33</f>
        <v>0</v>
      </c>
      <c r="E45" s="60"/>
      <c r="F45" s="90" t="e">
        <f>'2 SPPB BIDANG'!G33</f>
        <v>#REF!</v>
      </c>
      <c r="G45" s="63" t="e">
        <f>'2 SPPB BIDANG'!H33</f>
        <v>#REF!</v>
      </c>
      <c r="H45" s="63"/>
      <c r="J45" s="43" t="e">
        <f t="shared" si="0"/>
        <v>#REF!</v>
      </c>
    </row>
    <row r="46" spans="1:10" ht="16.5" customHeight="1" x14ac:dyDescent="0.25">
      <c r="A46" s="82"/>
      <c r="B46" s="132"/>
      <c r="C46" s="133"/>
      <c r="D46" s="47">
        <f>'4 SPPB'!E34</f>
        <v>0</v>
      </c>
      <c r="E46" s="60"/>
      <c r="F46" s="90" t="e">
        <f>'2 SPPB BIDANG'!G34</f>
        <v>#REF!</v>
      </c>
      <c r="G46" s="63" t="e">
        <f>'2 SPPB BIDANG'!H34</f>
        <v>#REF!</v>
      </c>
      <c r="H46" s="63"/>
      <c r="J46" s="43" t="e">
        <f t="shared" si="0"/>
        <v>#REF!</v>
      </c>
    </row>
    <row r="47" spans="1:10" ht="16.5" hidden="1" customHeight="1" x14ac:dyDescent="0.25">
      <c r="A47" s="82"/>
      <c r="B47" s="132"/>
      <c r="C47" s="133"/>
      <c r="D47" s="47">
        <f>'4 SPPB'!E35</f>
        <v>0</v>
      </c>
      <c r="E47" s="60"/>
      <c r="F47" s="90" t="e">
        <f>'2 SPPB BIDANG'!G35</f>
        <v>#REF!</v>
      </c>
      <c r="G47" s="63" t="e">
        <f>'2 SPPB BIDANG'!H35</f>
        <v>#REF!</v>
      </c>
      <c r="H47" s="63"/>
      <c r="J47" s="43" t="e">
        <f t="shared" si="0"/>
        <v>#REF!</v>
      </c>
    </row>
    <row r="48" spans="1:10" ht="16.5" customHeight="1" x14ac:dyDescent="0.25">
      <c r="A48" s="108"/>
      <c r="B48" s="134"/>
      <c r="C48" s="135"/>
      <c r="D48" s="131">
        <f>'4 SPPB'!E36</f>
        <v>0</v>
      </c>
      <c r="E48" s="59"/>
      <c r="F48" s="99" t="e">
        <f>'2 SPPB BIDANG'!G36</f>
        <v>#REF!</v>
      </c>
      <c r="G48" s="61" t="e">
        <f>'2 SPPB BIDANG'!H36</f>
        <v>#REF!</v>
      </c>
      <c r="H48" s="61"/>
      <c r="J48" s="43" t="e">
        <f t="shared" si="0"/>
        <v>#REF!</v>
      </c>
    </row>
    <row r="49" spans="1:6" x14ac:dyDescent="0.25">
      <c r="A49" s="47"/>
      <c r="E49" s="47"/>
    </row>
    <row r="50" spans="1:6" x14ac:dyDescent="0.25">
      <c r="A50" s="43" t="s">
        <v>61</v>
      </c>
    </row>
    <row r="53" spans="1:6" x14ac:dyDescent="0.25">
      <c r="B53" s="46" t="s">
        <v>44</v>
      </c>
      <c r="F53" s="46" t="s">
        <v>62</v>
      </c>
    </row>
    <row r="58" spans="1:6" x14ac:dyDescent="0.25">
      <c r="B58" s="46" t="s">
        <v>133</v>
      </c>
      <c r="F58" s="69" t="s">
        <v>105</v>
      </c>
    </row>
    <row r="59" spans="1:6" x14ac:dyDescent="0.25">
      <c r="B59" s="46" t="s">
        <v>134</v>
      </c>
      <c r="F59" s="46" t="s">
        <v>101</v>
      </c>
    </row>
    <row r="62" spans="1:6" x14ac:dyDescent="0.25">
      <c r="A62" s="47"/>
    </row>
    <row r="70" spans="1:2" x14ac:dyDescent="0.25">
      <c r="B70" s="46"/>
    </row>
    <row r="74" spans="1:2" x14ac:dyDescent="0.25">
      <c r="A74" s="47"/>
    </row>
  </sheetData>
  <autoFilter ref="J26:J48" xr:uid="{0CB933CF-BBCA-49DF-A5F4-068EFFDDDE9C}">
    <filterColumn colId="0">
      <filters blank="1">
        <filter val="PRINT"/>
      </filters>
    </filterColumn>
  </autoFilter>
  <mergeCells count="23">
    <mergeCell ref="B32:C32"/>
    <mergeCell ref="A11:H11"/>
    <mergeCell ref="A24:H24"/>
    <mergeCell ref="A26:A27"/>
    <mergeCell ref="B26:C27"/>
    <mergeCell ref="D26:D27"/>
    <mergeCell ref="E26:E27"/>
    <mergeCell ref="F26:F27"/>
    <mergeCell ref="G26:G27"/>
    <mergeCell ref="H26:H27"/>
    <mergeCell ref="J26:J27"/>
    <mergeCell ref="B28:C28"/>
    <mergeCell ref="B29:C29"/>
    <mergeCell ref="B30:C30"/>
    <mergeCell ref="B31:C31"/>
    <mergeCell ref="B39:C39"/>
    <mergeCell ref="B40:C40"/>
    <mergeCell ref="B33:C33"/>
    <mergeCell ref="B34:C34"/>
    <mergeCell ref="B35:C35"/>
    <mergeCell ref="B36:C36"/>
    <mergeCell ref="B37:C37"/>
    <mergeCell ref="B38:C38"/>
  </mergeCells>
  <pageMargins left="0.70866141732283472" right="0.35433070866141736" top="0.39370078740157483" bottom="0.47244094488188981" header="0.31496062992125984" footer="0.31496062992125984"/>
  <pageSetup paperSize="10000" scale="84" orientation="portrait" horizont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80F8-1055-45BF-8221-E9CC83BB0AD6}">
  <dimension ref="A7:H57"/>
  <sheetViews>
    <sheetView showGridLines="0" view="pageBreakPreview" zoomScaleNormal="100" zoomScaleSheetLayoutView="100" workbookViewId="0">
      <pane xSplit="7" ySplit="6" topLeftCell="H26" activePane="bottomRight" state="frozen"/>
      <selection activeCell="E11" sqref="E11:E42"/>
      <selection pane="topRight" activeCell="E11" sqref="E11:E42"/>
      <selection pane="bottomLeft" activeCell="E11" sqref="E11:E42"/>
      <selection pane="bottomRight" activeCell="I28" sqref="I28"/>
    </sheetView>
  </sheetViews>
  <sheetFormatPr defaultColWidth="9.140625" defaultRowHeight="15" x14ac:dyDescent="0.25"/>
  <cols>
    <col min="1" max="1" width="4.28515625" style="43" customWidth="1"/>
    <col min="2" max="2" width="14.28515625" style="43" customWidth="1"/>
    <col min="3" max="3" width="1.85546875" style="43" customWidth="1"/>
    <col min="4" max="4" width="38.42578125" style="43" customWidth="1"/>
    <col min="5" max="5" width="8.140625" style="43" customWidth="1"/>
    <col min="6" max="6" width="14.28515625" style="43" customWidth="1"/>
    <col min="7" max="7" width="20" style="43" customWidth="1"/>
    <col min="8" max="8" width="12.5703125" style="43" bestFit="1" customWidth="1"/>
    <col min="9" max="16384" width="9.140625" style="43"/>
  </cols>
  <sheetData>
    <row r="7" spans="1:7" ht="26.25" customHeight="1" x14ac:dyDescent="0.25">
      <c r="A7" s="238" t="s">
        <v>72</v>
      </c>
      <c r="B7" s="238"/>
      <c r="C7" s="238"/>
      <c r="D7" s="238"/>
      <c r="E7" s="238"/>
      <c r="F7" s="238"/>
      <c r="G7" s="238"/>
    </row>
    <row r="8" spans="1:7" x14ac:dyDescent="0.25">
      <c r="A8" s="238" t="s">
        <v>75</v>
      </c>
      <c r="B8" s="238"/>
      <c r="C8" s="238"/>
      <c r="D8" s="238"/>
      <c r="E8" s="238"/>
      <c r="F8" s="238"/>
      <c r="G8" s="238"/>
    </row>
    <row r="9" spans="1:7" x14ac:dyDescent="0.25">
      <c r="A9" s="69"/>
      <c r="B9" s="69"/>
      <c r="C9" s="69"/>
      <c r="D9" s="69"/>
      <c r="E9" s="69"/>
      <c r="F9" s="69"/>
      <c r="G9" s="69"/>
    </row>
    <row r="10" spans="1:7" ht="31.5" customHeight="1" x14ac:dyDescent="0.25">
      <c r="A10" s="214" t="s">
        <v>111</v>
      </c>
      <c r="B10" s="214"/>
      <c r="C10" s="214"/>
      <c r="D10" s="214"/>
      <c r="E10" s="214"/>
      <c r="F10" s="214"/>
      <c r="G10" s="214"/>
    </row>
    <row r="12" spans="1:7" ht="8.25" customHeight="1" x14ac:dyDescent="0.25"/>
    <row r="13" spans="1:7" x14ac:dyDescent="0.25">
      <c r="A13" s="43" t="s">
        <v>39</v>
      </c>
      <c r="B13" s="43" t="s">
        <v>4</v>
      </c>
      <c r="C13" s="43" t="s">
        <v>23</v>
      </c>
    </row>
    <row r="14" spans="1:7" x14ac:dyDescent="0.25">
      <c r="B14" s="43" t="s">
        <v>40</v>
      </c>
      <c r="C14" s="43" t="s">
        <v>23</v>
      </c>
      <c r="D14" s="48"/>
      <c r="G14" s="93"/>
    </row>
    <row r="15" spans="1:7" x14ac:dyDescent="0.25">
      <c r="B15" s="43" t="s">
        <v>63</v>
      </c>
      <c r="C15" s="43" t="s">
        <v>23</v>
      </c>
    </row>
    <row r="16" spans="1:7" x14ac:dyDescent="0.25">
      <c r="B16" s="43" t="s">
        <v>64</v>
      </c>
      <c r="C16" s="43" t="s">
        <v>23</v>
      </c>
      <c r="D16" s="143" t="s">
        <v>180</v>
      </c>
    </row>
    <row r="17" spans="1:8" ht="8.25" customHeight="1" x14ac:dyDescent="0.25"/>
    <row r="18" spans="1:8" x14ac:dyDescent="0.25">
      <c r="A18" s="43" t="s">
        <v>43</v>
      </c>
      <c r="B18" s="43" t="s">
        <v>4</v>
      </c>
      <c r="C18" s="43" t="s">
        <v>23</v>
      </c>
    </row>
    <row r="19" spans="1:8" x14ac:dyDescent="0.25">
      <c r="B19" s="43" t="s">
        <v>40</v>
      </c>
      <c r="C19" s="43" t="s">
        <v>23</v>
      </c>
    </row>
    <row r="20" spans="1:8" x14ac:dyDescent="0.25">
      <c r="B20" s="43" t="s">
        <v>58</v>
      </c>
      <c r="C20" s="43" t="s">
        <v>23</v>
      </c>
    </row>
    <row r="21" spans="1:8" x14ac:dyDescent="0.25">
      <c r="B21" s="43" t="s">
        <v>64</v>
      </c>
      <c r="C21" s="43" t="s">
        <v>23</v>
      </c>
      <c r="D21" s="143" t="s">
        <v>171</v>
      </c>
    </row>
    <row r="22" spans="1:8" ht="8.25" customHeight="1" x14ac:dyDescent="0.25"/>
    <row r="23" spans="1:8" x14ac:dyDescent="0.25">
      <c r="A23" s="92" t="s">
        <v>43</v>
      </c>
      <c r="B23" s="43" t="s">
        <v>4</v>
      </c>
      <c r="C23" s="43" t="s">
        <v>23</v>
      </c>
    </row>
    <row r="24" spans="1:8" x14ac:dyDescent="0.25">
      <c r="B24" s="43" t="s">
        <v>40</v>
      </c>
      <c r="C24" s="43" t="s">
        <v>23</v>
      </c>
    </row>
    <row r="25" spans="1:8" x14ac:dyDescent="0.25">
      <c r="B25" s="43" t="s">
        <v>58</v>
      </c>
      <c r="C25" s="43" t="s">
        <v>23</v>
      </c>
      <c r="D25" s="102"/>
    </row>
    <row r="26" spans="1:8" x14ac:dyDescent="0.25">
      <c r="B26" s="43" t="s">
        <v>64</v>
      </c>
      <c r="C26" s="43" t="s">
        <v>23</v>
      </c>
      <c r="D26" s="143" t="s">
        <v>170</v>
      </c>
    </row>
    <row r="28" spans="1:8" ht="30.75" customHeight="1" x14ac:dyDescent="0.25">
      <c r="A28" s="214" t="s">
        <v>129</v>
      </c>
      <c r="B28" s="214"/>
      <c r="C28" s="214"/>
      <c r="D28" s="214"/>
      <c r="E28" s="214"/>
      <c r="F28" s="214"/>
      <c r="G28" s="214"/>
    </row>
    <row r="29" spans="1:8" ht="9" customHeight="1" x14ac:dyDescent="0.25"/>
    <row r="30" spans="1:8" ht="16.5" customHeight="1" x14ac:dyDescent="0.25">
      <c r="A30" s="189" t="s">
        <v>1</v>
      </c>
      <c r="B30" s="189" t="s">
        <v>5</v>
      </c>
      <c r="C30" s="189"/>
      <c r="D30" s="190" t="s">
        <v>2</v>
      </c>
      <c r="E30" s="187" t="s">
        <v>3</v>
      </c>
      <c r="F30" s="187" t="s">
        <v>65</v>
      </c>
      <c r="G30" s="187" t="s">
        <v>30</v>
      </c>
    </row>
    <row r="31" spans="1:8" x14ac:dyDescent="0.25">
      <c r="A31" s="189"/>
      <c r="B31" s="189"/>
      <c r="C31" s="189"/>
      <c r="D31" s="191"/>
      <c r="E31" s="188"/>
      <c r="F31" s="188"/>
      <c r="G31" s="188"/>
    </row>
    <row r="32" spans="1:8" ht="16.5" customHeight="1" x14ac:dyDescent="0.25">
      <c r="A32" s="50"/>
      <c r="B32" s="206"/>
      <c r="C32" s="242"/>
      <c r="D32" s="53" t="s">
        <v>149</v>
      </c>
      <c r="E32" s="58">
        <v>10</v>
      </c>
      <c r="F32" s="111">
        <v>500000</v>
      </c>
      <c r="G32" s="62"/>
      <c r="H32" s="106"/>
    </row>
    <row r="33" spans="1:7" x14ac:dyDescent="0.25">
      <c r="A33" s="52"/>
      <c r="B33" s="243"/>
      <c r="C33" s="243"/>
      <c r="D33" s="56"/>
      <c r="E33" s="60"/>
      <c r="F33" s="112"/>
      <c r="G33" s="63"/>
    </row>
    <row r="34" spans="1:7" x14ac:dyDescent="0.25">
      <c r="A34" s="52"/>
      <c r="B34" s="243"/>
      <c r="C34" s="243"/>
      <c r="D34" s="56"/>
      <c r="E34" s="60"/>
      <c r="F34" s="112"/>
      <c r="G34" s="63"/>
    </row>
    <row r="35" spans="1:7" x14ac:dyDescent="0.25">
      <c r="A35" s="52"/>
      <c r="B35" s="65"/>
      <c r="C35" s="57"/>
      <c r="D35" s="56"/>
      <c r="E35" s="60"/>
      <c r="F35" s="112"/>
      <c r="G35" s="63"/>
    </row>
    <row r="36" spans="1:7" x14ac:dyDescent="0.25">
      <c r="A36" s="52"/>
      <c r="B36" s="65"/>
      <c r="C36" s="57"/>
      <c r="D36" s="56"/>
      <c r="E36" s="60"/>
      <c r="F36" s="112"/>
      <c r="G36" s="63"/>
    </row>
    <row r="37" spans="1:7" x14ac:dyDescent="0.25">
      <c r="A37" s="52"/>
      <c r="B37" s="65"/>
      <c r="C37" s="57"/>
      <c r="D37" s="56"/>
      <c r="E37" s="60"/>
      <c r="F37" s="112"/>
      <c r="G37" s="63"/>
    </row>
    <row r="38" spans="1:7" x14ac:dyDescent="0.25">
      <c r="A38" s="52"/>
      <c r="B38" s="65"/>
      <c r="C38" s="57"/>
      <c r="D38" s="56"/>
      <c r="E38" s="60"/>
      <c r="F38" s="112"/>
      <c r="G38" s="63"/>
    </row>
    <row r="39" spans="1:7" x14ac:dyDescent="0.25">
      <c r="A39" s="52"/>
      <c r="B39" s="65"/>
      <c r="C39" s="57"/>
      <c r="D39" s="56"/>
      <c r="E39" s="60"/>
      <c r="F39" s="112"/>
      <c r="G39" s="63"/>
    </row>
    <row r="40" spans="1:7" ht="15.75" customHeight="1" x14ac:dyDescent="0.25">
      <c r="A40" s="239" t="s">
        <v>3</v>
      </c>
      <c r="B40" s="240"/>
      <c r="C40" s="240"/>
      <c r="D40" s="241"/>
      <c r="E40" s="109"/>
      <c r="F40" s="110">
        <f>SUM(F32:F39)</f>
        <v>500000</v>
      </c>
      <c r="G40" s="51"/>
    </row>
    <row r="42" spans="1:7" x14ac:dyDescent="0.25">
      <c r="A42" s="43" t="s">
        <v>171</v>
      </c>
      <c r="F42" s="43" t="s">
        <v>170</v>
      </c>
    </row>
    <row r="47" spans="1:7" x14ac:dyDescent="0.25">
      <c r="A47" s="46" t="s">
        <v>168</v>
      </c>
      <c r="F47" s="46" t="s">
        <v>168</v>
      </c>
    </row>
    <row r="48" spans="1:7" x14ac:dyDescent="0.25">
      <c r="A48" s="46" t="s">
        <v>169</v>
      </c>
      <c r="F48" s="46" t="s">
        <v>172</v>
      </c>
    </row>
    <row r="50" spans="1:4" x14ac:dyDescent="0.25">
      <c r="A50" s="47"/>
      <c r="D50" s="68" t="s">
        <v>130</v>
      </c>
    </row>
    <row r="51" spans="1:4" x14ac:dyDescent="0.25">
      <c r="D51" s="69" t="s">
        <v>181</v>
      </c>
    </row>
    <row r="52" spans="1:4" x14ac:dyDescent="0.25">
      <c r="D52" s="68"/>
    </row>
    <row r="53" spans="1:4" x14ac:dyDescent="0.25">
      <c r="D53" s="68"/>
    </row>
    <row r="54" spans="1:4" x14ac:dyDescent="0.25">
      <c r="D54" s="68"/>
    </row>
    <row r="56" spans="1:4" x14ac:dyDescent="0.25">
      <c r="D56" s="69" t="s">
        <v>182</v>
      </c>
    </row>
    <row r="57" spans="1:4" x14ac:dyDescent="0.25">
      <c r="D57" s="43" t="s">
        <v>183</v>
      </c>
    </row>
  </sheetData>
  <mergeCells count="14">
    <mergeCell ref="A7:G7"/>
    <mergeCell ref="A8:G8"/>
    <mergeCell ref="A10:G10"/>
    <mergeCell ref="A28:G28"/>
    <mergeCell ref="A40:D40"/>
    <mergeCell ref="G30:G31"/>
    <mergeCell ref="B32:C32"/>
    <mergeCell ref="B33:C33"/>
    <mergeCell ref="B34:C34"/>
    <mergeCell ref="A30:A31"/>
    <mergeCell ref="B30:C31"/>
    <mergeCell ref="D30:D31"/>
    <mergeCell ref="E30:E31"/>
    <mergeCell ref="F30:F31"/>
  </mergeCells>
  <pageMargins left="0.70866141732283472" right="0.35433070866141736" top="0.39370078740157483" bottom="0.47244094488188981" header="0.31496062992125984" footer="0.31496062992125984"/>
  <pageSetup paperSize="20000" scale="83" orientation="portrait" horizont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5EA6-F6FD-4AEF-B733-6D9330935A3F}">
  <dimension ref="A1:H39"/>
  <sheetViews>
    <sheetView tabSelected="1" view="pageBreakPreview" zoomScale="111" zoomScaleNormal="100" workbookViewId="0">
      <selection activeCell="H6" sqref="H6"/>
    </sheetView>
  </sheetViews>
  <sheetFormatPr defaultRowHeight="15" x14ac:dyDescent="0.25"/>
  <cols>
    <col min="1" max="1" width="5.42578125" customWidth="1"/>
    <col min="4" max="4" width="10.140625" customWidth="1"/>
    <col min="5" max="5" width="15" customWidth="1"/>
    <col min="6" max="6" width="16.7109375" customWidth="1"/>
    <col min="7" max="7" width="16.28515625" customWidth="1"/>
    <col min="8" max="8" width="24" customWidth="1"/>
  </cols>
  <sheetData>
    <row r="1" spans="1:8" ht="15.75" x14ac:dyDescent="0.25">
      <c r="A1" s="118" t="s">
        <v>33</v>
      </c>
      <c r="B1" s="118"/>
      <c r="C1" s="118" t="s">
        <v>81</v>
      </c>
      <c r="D1" s="118"/>
      <c r="E1" s="118"/>
      <c r="F1" s="118"/>
      <c r="G1" s="118"/>
      <c r="H1" s="118"/>
    </row>
    <row r="2" spans="1:8" ht="15.75" x14ac:dyDescent="0.25">
      <c r="A2" s="118" t="s">
        <v>8</v>
      </c>
      <c r="B2" s="118"/>
      <c r="C2" s="118" t="s">
        <v>81</v>
      </c>
      <c r="D2" s="118"/>
      <c r="E2" s="118"/>
      <c r="F2" s="118"/>
      <c r="G2" s="118"/>
      <c r="H2" s="118"/>
    </row>
    <row r="3" spans="1:8" ht="15.75" x14ac:dyDescent="0.25">
      <c r="A3" s="118" t="s">
        <v>85</v>
      </c>
      <c r="B3" s="118"/>
      <c r="C3" s="118" t="s">
        <v>81</v>
      </c>
      <c r="D3" s="118"/>
      <c r="E3" s="118"/>
      <c r="F3" s="118"/>
      <c r="G3" s="118"/>
      <c r="H3" s="118"/>
    </row>
    <row r="4" spans="1:8" ht="15.75" x14ac:dyDescent="0.25">
      <c r="B4" s="119"/>
      <c r="C4" s="119"/>
      <c r="D4" s="119"/>
      <c r="E4" s="119"/>
      <c r="F4" s="119"/>
      <c r="G4" s="119"/>
      <c r="H4" s="119"/>
    </row>
    <row r="5" spans="1:8" s="7" customFormat="1" ht="39" customHeight="1" x14ac:dyDescent="0.25">
      <c r="A5" s="161" t="s">
        <v>86</v>
      </c>
      <c r="B5" s="250" t="s">
        <v>87</v>
      </c>
      <c r="C5" s="251"/>
      <c r="D5" s="161" t="s">
        <v>107</v>
      </c>
      <c r="E5" s="161" t="s">
        <v>143</v>
      </c>
      <c r="F5" s="161" t="s">
        <v>88</v>
      </c>
      <c r="G5" s="161" t="s">
        <v>89</v>
      </c>
      <c r="H5" s="162" t="s">
        <v>144</v>
      </c>
    </row>
    <row r="6" spans="1:8" x14ac:dyDescent="0.25">
      <c r="A6" s="120">
        <v>1</v>
      </c>
      <c r="B6" s="248">
        <v>45658</v>
      </c>
      <c r="C6" s="249"/>
      <c r="D6" s="75" t="s">
        <v>106</v>
      </c>
      <c r="E6" s="166">
        <v>2</v>
      </c>
      <c r="F6" s="75" t="s">
        <v>184</v>
      </c>
      <c r="G6" s="75"/>
      <c r="H6" s="75"/>
    </row>
    <row r="7" spans="1:8" x14ac:dyDescent="0.25">
      <c r="A7" s="120">
        <f>A6+1</f>
        <v>2</v>
      </c>
      <c r="B7" s="248">
        <v>45658</v>
      </c>
      <c r="C7" s="249"/>
      <c r="D7" s="75" t="s">
        <v>106</v>
      </c>
      <c r="E7" s="166">
        <v>4</v>
      </c>
      <c r="F7" s="75" t="s">
        <v>185</v>
      </c>
      <c r="G7" s="75"/>
      <c r="H7" s="75"/>
    </row>
    <row r="8" spans="1:8" x14ac:dyDescent="0.25">
      <c r="A8" s="120">
        <f t="shared" ref="A8:A30" si="0">A7+1</f>
        <v>3</v>
      </c>
      <c r="B8" s="248">
        <v>45658</v>
      </c>
      <c r="C8" s="249"/>
      <c r="D8" s="75" t="s">
        <v>106</v>
      </c>
      <c r="E8" s="166">
        <v>4</v>
      </c>
      <c r="F8" s="75" t="s">
        <v>186</v>
      </c>
      <c r="G8" s="75"/>
      <c r="H8" s="75"/>
    </row>
    <row r="9" spans="1:8" x14ac:dyDescent="0.25">
      <c r="A9" s="120">
        <f t="shared" si="0"/>
        <v>4</v>
      </c>
      <c r="B9" s="248">
        <v>45658</v>
      </c>
      <c r="C9" s="249"/>
      <c r="D9" s="75" t="s">
        <v>106</v>
      </c>
      <c r="E9" s="166">
        <v>3</v>
      </c>
      <c r="F9" s="75" t="s">
        <v>187</v>
      </c>
      <c r="G9" s="75"/>
      <c r="H9" s="75"/>
    </row>
    <row r="10" spans="1:8" x14ac:dyDescent="0.25">
      <c r="A10" s="120">
        <f t="shared" si="0"/>
        <v>5</v>
      </c>
      <c r="B10" s="248">
        <v>45658</v>
      </c>
      <c r="C10" s="249"/>
      <c r="D10" s="75" t="s">
        <v>106</v>
      </c>
      <c r="E10" s="166">
        <v>2</v>
      </c>
      <c r="F10" s="75" t="s">
        <v>188</v>
      </c>
      <c r="G10" s="75"/>
      <c r="H10" s="75"/>
    </row>
    <row r="11" spans="1:8" x14ac:dyDescent="0.25">
      <c r="A11" s="120">
        <f t="shared" si="0"/>
        <v>6</v>
      </c>
      <c r="B11" s="248">
        <v>45658</v>
      </c>
      <c r="C11" s="249"/>
      <c r="D11" s="75" t="s">
        <v>106</v>
      </c>
      <c r="E11" s="166">
        <v>1</v>
      </c>
      <c r="F11" s="75" t="s">
        <v>189</v>
      </c>
      <c r="G11" s="75"/>
      <c r="H11" s="75"/>
    </row>
    <row r="12" spans="1:8" x14ac:dyDescent="0.25">
      <c r="A12" s="120">
        <f t="shared" si="0"/>
        <v>7</v>
      </c>
      <c r="B12" s="248">
        <v>45658</v>
      </c>
      <c r="C12" s="249"/>
      <c r="D12" s="75" t="s">
        <v>106</v>
      </c>
      <c r="E12" s="166">
        <v>1</v>
      </c>
      <c r="F12" s="75" t="s">
        <v>190</v>
      </c>
      <c r="G12" s="75"/>
      <c r="H12" s="75"/>
    </row>
    <row r="13" spans="1:8" x14ac:dyDescent="0.25">
      <c r="A13" s="120">
        <f t="shared" si="0"/>
        <v>8</v>
      </c>
      <c r="B13" s="248">
        <v>45658</v>
      </c>
      <c r="C13" s="249"/>
      <c r="D13" s="75" t="s">
        <v>106</v>
      </c>
      <c r="E13" s="166">
        <v>1</v>
      </c>
      <c r="F13" s="75" t="s">
        <v>190</v>
      </c>
      <c r="G13" s="75"/>
      <c r="H13" s="75"/>
    </row>
    <row r="14" spans="1:8" x14ac:dyDescent="0.25">
      <c r="A14" s="120">
        <f t="shared" si="0"/>
        <v>9</v>
      </c>
      <c r="B14" s="248">
        <v>45658</v>
      </c>
      <c r="C14" s="249"/>
      <c r="D14" s="75" t="s">
        <v>106</v>
      </c>
      <c r="E14" s="166">
        <v>2</v>
      </c>
      <c r="F14" s="75" t="s">
        <v>190</v>
      </c>
      <c r="G14" s="75"/>
      <c r="H14" s="75"/>
    </row>
    <row r="15" spans="1:8" x14ac:dyDescent="0.25">
      <c r="A15" s="120">
        <f t="shared" si="0"/>
        <v>10</v>
      </c>
      <c r="B15" s="248">
        <v>45658</v>
      </c>
      <c r="C15" s="249"/>
      <c r="D15" s="75" t="s">
        <v>106</v>
      </c>
      <c r="E15" s="166">
        <v>3</v>
      </c>
      <c r="F15" s="75" t="s">
        <v>190</v>
      </c>
      <c r="G15" s="75"/>
      <c r="H15" s="75"/>
    </row>
    <row r="16" spans="1:8" x14ac:dyDescent="0.25">
      <c r="A16" s="120">
        <f t="shared" si="0"/>
        <v>11</v>
      </c>
      <c r="B16" s="248">
        <v>45658</v>
      </c>
      <c r="C16" s="249"/>
      <c r="D16" s="75" t="s">
        <v>106</v>
      </c>
      <c r="E16" s="166">
        <v>4</v>
      </c>
      <c r="F16" s="75" t="s">
        <v>190</v>
      </c>
      <c r="G16" s="75"/>
      <c r="H16" s="75"/>
    </row>
    <row r="17" spans="1:8" x14ac:dyDescent="0.25">
      <c r="A17" s="120">
        <f t="shared" si="0"/>
        <v>12</v>
      </c>
      <c r="B17" s="248">
        <v>45658</v>
      </c>
      <c r="C17" s="249"/>
      <c r="D17" s="75" t="s">
        <v>106</v>
      </c>
      <c r="E17" s="166">
        <v>3</v>
      </c>
      <c r="F17" s="75" t="s">
        <v>190</v>
      </c>
      <c r="G17" s="75"/>
      <c r="H17" s="75"/>
    </row>
    <row r="18" spans="1:8" x14ac:dyDescent="0.25">
      <c r="A18" s="120">
        <f t="shared" si="0"/>
        <v>13</v>
      </c>
      <c r="B18" s="248">
        <v>45658</v>
      </c>
      <c r="C18" s="249"/>
      <c r="D18" s="75" t="s">
        <v>106</v>
      </c>
      <c r="E18" s="166">
        <v>2</v>
      </c>
      <c r="F18" s="75" t="s">
        <v>190</v>
      </c>
      <c r="G18" s="75"/>
      <c r="H18" s="75"/>
    </row>
    <row r="19" spans="1:8" x14ac:dyDescent="0.25">
      <c r="A19" s="120">
        <f t="shared" si="0"/>
        <v>14</v>
      </c>
      <c r="B19" s="248">
        <v>45658</v>
      </c>
      <c r="C19" s="249"/>
      <c r="D19" s="75" t="s">
        <v>106</v>
      </c>
      <c r="E19" s="166">
        <v>2</v>
      </c>
      <c r="F19" s="75" t="s">
        <v>190</v>
      </c>
      <c r="G19" s="75"/>
      <c r="H19" s="75"/>
    </row>
    <row r="20" spans="1:8" x14ac:dyDescent="0.25">
      <c r="A20" s="120">
        <f t="shared" si="0"/>
        <v>15</v>
      </c>
      <c r="B20" s="248">
        <v>45658</v>
      </c>
      <c r="C20" s="249"/>
      <c r="D20" s="75" t="s">
        <v>106</v>
      </c>
      <c r="E20" s="166">
        <v>1</v>
      </c>
      <c r="F20" s="75" t="s">
        <v>190</v>
      </c>
      <c r="G20" s="75"/>
      <c r="H20" s="75"/>
    </row>
    <row r="21" spans="1:8" x14ac:dyDescent="0.25">
      <c r="A21" s="120">
        <f t="shared" si="0"/>
        <v>16</v>
      </c>
      <c r="B21" s="248">
        <v>45658</v>
      </c>
      <c r="C21" s="249"/>
      <c r="D21" s="75" t="s">
        <v>106</v>
      </c>
      <c r="E21" s="166">
        <v>1</v>
      </c>
      <c r="F21" s="75" t="s">
        <v>190</v>
      </c>
      <c r="G21" s="75"/>
      <c r="H21" s="75"/>
    </row>
    <row r="22" spans="1:8" x14ac:dyDescent="0.25">
      <c r="A22" s="120">
        <f t="shared" si="0"/>
        <v>17</v>
      </c>
      <c r="B22" s="248">
        <v>45658</v>
      </c>
      <c r="C22" s="249"/>
      <c r="D22" s="75" t="s">
        <v>106</v>
      </c>
      <c r="E22" s="166">
        <v>2</v>
      </c>
      <c r="F22" s="75" t="s">
        <v>190</v>
      </c>
      <c r="G22" s="75"/>
      <c r="H22" s="75"/>
    </row>
    <row r="23" spans="1:8" x14ac:dyDescent="0.25">
      <c r="A23" s="120">
        <f t="shared" si="0"/>
        <v>18</v>
      </c>
      <c r="B23" s="248">
        <v>45658</v>
      </c>
      <c r="C23" s="249"/>
      <c r="D23" s="75" t="s">
        <v>106</v>
      </c>
      <c r="E23" s="166">
        <v>2</v>
      </c>
      <c r="F23" s="75" t="s">
        <v>190</v>
      </c>
      <c r="G23" s="75"/>
      <c r="H23" s="75"/>
    </row>
    <row r="24" spans="1:8" x14ac:dyDescent="0.25">
      <c r="A24" s="120">
        <f t="shared" si="0"/>
        <v>19</v>
      </c>
      <c r="B24" s="245"/>
      <c r="C24" s="246"/>
      <c r="D24" s="75"/>
      <c r="E24" s="75"/>
      <c r="F24" s="75"/>
      <c r="G24" s="75"/>
      <c r="H24" s="75"/>
    </row>
    <row r="25" spans="1:8" x14ac:dyDescent="0.25">
      <c r="A25" s="120">
        <f t="shared" si="0"/>
        <v>20</v>
      </c>
      <c r="B25" s="245"/>
      <c r="C25" s="246"/>
      <c r="D25" s="75"/>
      <c r="E25" s="75"/>
      <c r="F25" s="75"/>
      <c r="G25" s="75"/>
      <c r="H25" s="75"/>
    </row>
    <row r="26" spans="1:8" x14ac:dyDescent="0.25">
      <c r="A26" s="120">
        <f t="shared" si="0"/>
        <v>21</v>
      </c>
      <c r="B26" s="245"/>
      <c r="C26" s="246"/>
      <c r="D26" s="75"/>
      <c r="E26" s="75"/>
      <c r="F26" s="75"/>
      <c r="G26" s="75"/>
      <c r="H26" s="75"/>
    </row>
    <row r="27" spans="1:8" x14ac:dyDescent="0.25">
      <c r="A27" s="120">
        <f t="shared" si="0"/>
        <v>22</v>
      </c>
      <c r="B27" s="245"/>
      <c r="C27" s="246"/>
      <c r="D27" s="75"/>
      <c r="E27" s="75"/>
      <c r="F27" s="75"/>
      <c r="G27" s="75"/>
      <c r="H27" s="75"/>
    </row>
    <row r="28" spans="1:8" x14ac:dyDescent="0.25">
      <c r="A28" s="120">
        <f t="shared" si="0"/>
        <v>23</v>
      </c>
      <c r="B28" s="245"/>
      <c r="C28" s="246"/>
      <c r="D28" s="75"/>
      <c r="E28" s="75"/>
      <c r="F28" s="75"/>
      <c r="G28" s="75"/>
      <c r="H28" s="75"/>
    </row>
    <row r="29" spans="1:8" x14ac:dyDescent="0.25">
      <c r="A29" s="120">
        <f t="shared" si="0"/>
        <v>24</v>
      </c>
      <c r="B29" s="245"/>
      <c r="C29" s="246"/>
      <c r="D29" s="75"/>
      <c r="E29" s="75"/>
      <c r="F29" s="75"/>
      <c r="G29" s="75"/>
      <c r="H29" s="75"/>
    </row>
    <row r="30" spans="1:8" x14ac:dyDescent="0.25">
      <c r="A30" s="120">
        <f t="shared" si="0"/>
        <v>25</v>
      </c>
      <c r="B30" s="245"/>
      <c r="C30" s="246"/>
      <c r="D30" s="75"/>
      <c r="E30" s="75"/>
      <c r="F30" s="75"/>
      <c r="G30" s="75"/>
      <c r="H30" s="75"/>
    </row>
    <row r="32" spans="1:8" ht="15.75" x14ac:dyDescent="0.25">
      <c r="A32" s="247"/>
      <c r="B32" s="247"/>
      <c r="C32" s="247"/>
      <c r="G32" s="121" t="s">
        <v>90</v>
      </c>
      <c r="H32" s="121"/>
    </row>
    <row r="33" spans="1:8" x14ac:dyDescent="0.25">
      <c r="A33" s="85"/>
      <c r="B33" s="85"/>
      <c r="C33" s="85"/>
      <c r="G33" s="102" t="s">
        <v>91</v>
      </c>
      <c r="H33" s="102"/>
    </row>
    <row r="38" spans="1:8" ht="18.75" x14ac:dyDescent="0.3">
      <c r="A38" s="182"/>
      <c r="B38" s="182"/>
      <c r="C38" s="182"/>
      <c r="D38" s="182"/>
      <c r="E38" s="155"/>
      <c r="G38" s="159" t="s">
        <v>92</v>
      </c>
      <c r="H38" s="159"/>
    </row>
    <row r="39" spans="1:8" ht="18.75" x14ac:dyDescent="0.3">
      <c r="A39" s="244"/>
      <c r="B39" s="244"/>
      <c r="C39" s="244"/>
      <c r="D39" s="244"/>
      <c r="E39" s="156"/>
      <c r="G39" s="160" t="s">
        <v>93</v>
      </c>
      <c r="H39" s="160"/>
    </row>
  </sheetData>
  <mergeCells count="29">
    <mergeCell ref="B15:C15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38:D38"/>
    <mergeCell ref="A39:D39"/>
    <mergeCell ref="B28:C28"/>
    <mergeCell ref="B29:C29"/>
    <mergeCell ref="B30:C30"/>
    <mergeCell ref="A32:C32"/>
  </mergeCells>
  <pageMargins left="0.7" right="0.7" top="0.75" bottom="0.75" header="0.3" footer="0.3"/>
  <pageSetup paperSize="20000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20</vt:i4>
      </vt:variant>
    </vt:vector>
  </HeadingPairs>
  <TitlesOfParts>
    <vt:vector size="35" baseType="lpstr">
      <vt:lpstr>Sheet1</vt:lpstr>
      <vt:lpstr>1 BUKU PENERIMAAN BARANG</vt:lpstr>
      <vt:lpstr>2 NPB</vt:lpstr>
      <vt:lpstr>3 SPB</vt:lpstr>
      <vt:lpstr>4 SPPB</vt:lpstr>
      <vt:lpstr>5 BAST</vt:lpstr>
      <vt:lpstr>1 BUKU PENGELUARAN</vt:lpstr>
      <vt:lpstr>6 KARTU BARANG PERSEDIAAN</vt:lpstr>
      <vt:lpstr>7 BUKU PENYALURAN</vt:lpstr>
      <vt:lpstr>2 NPB BIDANG</vt:lpstr>
      <vt:lpstr>2 SPB BIDANG</vt:lpstr>
      <vt:lpstr>2 SPPB BIDANG</vt:lpstr>
      <vt:lpstr>2 BAST BIDANG</vt:lpstr>
      <vt:lpstr>8 STCK OPN</vt:lpstr>
      <vt:lpstr>9 LAMPIRAN</vt:lpstr>
      <vt:lpstr>'1 BUKU PENERIMAAN BARANG'!Print_Area</vt:lpstr>
      <vt:lpstr>'1 BUKU PENGELUARAN'!Print_Area</vt:lpstr>
      <vt:lpstr>'2 BAST BIDANG'!Print_Area</vt:lpstr>
      <vt:lpstr>'2 NPB'!Print_Area</vt:lpstr>
      <vt:lpstr>'2 NPB BIDANG'!Print_Area</vt:lpstr>
      <vt:lpstr>'2 SPB BIDANG'!Print_Area</vt:lpstr>
      <vt:lpstr>'2 SPPB BIDANG'!Print_Area</vt:lpstr>
      <vt:lpstr>'3 SPB'!Print_Area</vt:lpstr>
      <vt:lpstr>'4 SPPB'!Print_Area</vt:lpstr>
      <vt:lpstr>'5 BAST'!Print_Area</vt:lpstr>
      <vt:lpstr>'6 KARTU BARANG PERSEDIAAN'!Print_Area</vt:lpstr>
      <vt:lpstr>'7 BUKU PENYALURAN'!Print_Area</vt:lpstr>
      <vt:lpstr>'8 STCK OPN'!Print_Area</vt:lpstr>
      <vt:lpstr>'1 BUKU PENERIMAAN BARANG'!Print_Titles</vt:lpstr>
      <vt:lpstr>'1 BUKU PENGELUARAN'!Print_Titles</vt:lpstr>
      <vt:lpstr>'2 BAST BIDANG'!Print_Titles</vt:lpstr>
      <vt:lpstr>'2 SPB BIDANG'!Print_Titles</vt:lpstr>
      <vt:lpstr>'3 SPB'!Print_Titles</vt:lpstr>
      <vt:lpstr>'5 BAST'!Print_Titles</vt:lpstr>
      <vt:lpstr>'7 BUKU PENYALURAN'!Print_Titles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</dc:creator>
  <cp:lastModifiedBy>ENVY</cp:lastModifiedBy>
  <cp:lastPrinted>2025-07-01T14:03:05Z</cp:lastPrinted>
  <dcterms:created xsi:type="dcterms:W3CDTF">2024-02-21T02:35:30Z</dcterms:created>
  <dcterms:modified xsi:type="dcterms:W3CDTF">2025-07-02T02:45:20Z</dcterms:modified>
</cp:coreProperties>
</file>